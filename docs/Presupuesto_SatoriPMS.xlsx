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esumen_Ejecutivo" sheetId="1" state="visible" r:id="rId1"/>
    <sheet name="Matriz_Costos" sheetId="2" state="visible" r:id="rId2"/>
    <sheet name="Historias_Backlog" sheetId="3" state="visible" r:id="rId3"/>
    <sheet name="Escenarios_Decisiones" sheetId="4" state="visible" r:id="rId4"/>
    <sheet name="Supuestos_Validaciones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<sst xmlns="http://schemas.openxmlformats.org/spreadsheetml/2006/main" count="746" uniqueCount="746">
  <si>
    <t xml:space="preserve">PRESUPUESTO Y MODELO FINANCIERO INTEGRAL — TORRE SATORI PMS</t>
  </si>
  <si>
    <t xml:space="preserve">Sistema de Gestión Hotelera · Proyecto Integrador II · Universidad Icesi (2026-2) · Moneda: COP / TRM $4.150</t>
  </si>
  <si>
    <t xml:space="preserve">Convención visual: Fondo amarillo tenue = Parámetro o dato editable | Fondo blanco/gris = Cálculo automático con fórmula | Fondo rojo tenue = Pendiente de cotización/validar</t>
  </si>
  <si>
    <t xml:space="preserve">A. IDENTIFICACIÓN DEL PROYECTO Y ALCANCE PRESUPUESTADO</t>
  </si>
  <si>
    <t>Proyecto</t>
  </si>
  <si>
    <t xml:space="preserve">Torre Satori PMS: Property Management System para hotel familiar con motor de reservas y chatbot inteligente</t>
  </si>
  <si>
    <t xml:space="preserve">Organización / Cliente</t>
  </si>
  <si>
    <t xml:space="preserve">Hotel Torre Satori (Sevilla, Valle del Cauca) · Propietario / Stakeholder principal</t>
  </si>
  <si>
    <t xml:space="preserve">Equipo de Desarrollo</t>
  </si>
  <si>
    <t xml:space="preserve">Juan José Arias Gallego (Product Owner) · Esteban Guarín Valencia (Scrum Master &amp; Backend) · Juan Felipe Garzón Trejos (Frontend &amp; n8n)</t>
  </si>
  <si>
    <t xml:space="preserve">Solución Tecnológica</t>
  </si>
  <si>
    <t xml:space="preserve">Monolito modular hexagonal en Java 21 / Spring Boot 3.3, Redis 7 (locks 15 min), PostgreSQL 16 (EXCLUDE GIST), n8n (WhatsApp Meta Cloud API + Google Gemini Flash Lite) y web en React/Vite</t>
  </si>
  <si>
    <t xml:space="preserve">Alcance Presupuestado (MVP)</t>
  </si>
  <si>
    <t xml:space="preserve">150 Story Points de desarrollo en 5 Sprints (10 semanas) + 38 horas de puesta en marcha, parametrización y capacitación presencial en Sevilla (Fases 1 a 11 EDT)</t>
  </si>
  <si>
    <t xml:space="preserve">Fuera de Alcance Inicial</t>
  </si>
  <si>
    <t xml:space="preserve">Arquitectura de microservicios distribuidos, operación multi-hotel/multi-tenant simultánea, motor de reservas web con pasarela directa (idea a futuro)</t>
  </si>
  <si>
    <t xml:space="preserve">Estado Actual del Trabajo</t>
  </si>
  <si>
    <t xml:space="preserve">Flujo V8 n8n activo (80 nodos), 5 migraciones Flyway validadas, reserva guiada, abono parcial 50%/100%, liquidación de saldo, cancelación RN-03, reseñas con Google y asistente IA autónomo</t>
  </si>
  <si>
    <t xml:space="preserve">Fecha de Corte y Versión</t>
  </si>
  <si>
    <t xml:space="preserve">Octubre de 2026 · Versión 3.0 Definitiva basada en la arquitectura real Spring Boot + Redis + PostgreSQL + n8n</t>
  </si>
  <si>
    <t xml:space="preserve">A.1 PARÁMETROS ECONÓMICOS, SUPUESTOS Y TARIFAS DE REFERENCIA</t>
  </si>
  <si>
    <t>Grupo</t>
  </si>
  <si>
    <t xml:space="preserve">Parámetro / Supuesto</t>
  </si>
  <si>
    <t>Valor</t>
  </si>
  <si>
    <t>Unidad</t>
  </si>
  <si>
    <t>Estado</t>
  </si>
  <si>
    <t xml:space="preserve">Fundamento y Origen del Dato</t>
  </si>
  <si>
    <t>Equipo</t>
  </si>
  <si>
    <t xml:space="preserve">Integrantes del equipo de desarrollo</t>
  </si>
  <si>
    <t>personas</t>
  </si>
  <si>
    <t>Confirmado</t>
  </si>
  <si>
    <t xml:space="preserve">Esteban Guarín, Juan José Arias y Juan Felipe Garzón</t>
  </si>
  <si>
    <t xml:space="preserve">Dedicación semanal por integrante</t>
  </si>
  <si>
    <t>h/semana</t>
  </si>
  <si>
    <t xml:space="preserve">Compromiso académico en Proyecto Integrador II</t>
  </si>
  <si>
    <t xml:space="preserve">Duración del desarrollo del proyecto</t>
  </si>
  <si>
    <t>semanas</t>
  </si>
  <si>
    <t xml:space="preserve">5 sprints quincenales (14 sep – 20 nov 2026)</t>
  </si>
  <si>
    <t xml:space="preserve">Horas totales de ingeniería (Fases 1 a 9 y 11)</t>
  </si>
  <si>
    <t>horas</t>
  </si>
  <si>
    <t>Calculado</t>
  </si>
  <si>
    <t xml:space="preserve">3 personas × 20 h/sem × 10 sem = 600 horas de desarrollo</t>
  </si>
  <si>
    <t xml:space="preserve">Tarifa profesional por hora del equipo</t>
  </si>
  <si>
    <t>COP/h</t>
  </si>
  <si>
    <t xml:space="preserve">Tarifa de mercado desarrollador junior Colombia ($2.8M-$3.0M base)</t>
  </si>
  <si>
    <t xml:space="preserve">Horas por Story Point acordadas</t>
  </si>
  <si>
    <t>h/SP</t>
  </si>
  <si>
    <t xml:space="preserve">1 Story Point equivale a media jornada de trabajo (4 horas)</t>
  </si>
  <si>
    <t xml:space="preserve">Capacidad máxima planificada por sprint</t>
  </si>
  <si>
    <t>SP</t>
  </si>
  <si>
    <t xml:space="preserve">Tope máximo sostenible por sprint sin sobrecarga</t>
  </si>
  <si>
    <t>Financiero</t>
  </si>
  <si>
    <t xml:space="preserve">Tasa Representativa del Mercado (TRM)</t>
  </si>
  <si>
    <t>COP/USD</t>
  </si>
  <si>
    <t xml:space="preserve">Tasa promedio proyectada para liquidación de servicios nube</t>
  </si>
  <si>
    <t xml:space="preserve">Ajuste anual proyectado servicios nube</t>
  </si>
  <si>
    <t xml:space="preserve">% anual</t>
  </si>
  <si>
    <t>Estimado</t>
  </si>
  <si>
    <t xml:space="preserve">Inflación tecnológica anual estimada para proyecciones plurianuales</t>
  </si>
  <si>
    <t>DoD</t>
  </si>
  <si>
    <t xml:space="preserve">Código integrado a main por PR (55%)</t>
  </si>
  <si>
    <t xml:space="preserve">% horas</t>
  </si>
  <si>
    <t xml:space="preserve">Escritura de código en Spring Boot, React y flujos n8n</t>
  </si>
  <si>
    <t xml:space="preserve">Pruebas unitarias e integración (20%)</t>
  </si>
  <si>
    <t xml:space="preserve">Pruebas JUnit, Mockito, RedisLock y verificación de concurrencia</t>
  </si>
  <si>
    <t xml:space="preserve">Correcciones tras revisión de par y PO (10%)</t>
  </si>
  <si>
    <t xml:space="preserve">Ajustes de code review y retroalimentación de criterios de aceptación</t>
  </si>
  <si>
    <t xml:space="preserve">Documentación técnica y OpenAPI (10%)</t>
  </si>
  <si>
    <t xml:space="preserve">Swagger/OpenAPI, arquitectura hexagonal y registro de decisiones ADR</t>
  </si>
  <si>
    <t xml:space="preserve">Despliegue en pruebas local/staging (5%)</t>
  </si>
  <si>
    <t xml:space="preserve">Contenedores Docker y scripts de verificación para revisión PO</t>
  </si>
  <si>
    <t xml:space="preserve">Costo por Story Point con DoD completa</t>
  </si>
  <si>
    <t>COP/SP</t>
  </si>
  <si>
    <t xml:space="preserve">Costo estándar: 4 horas × $35.000/h = $140.000 COP por punto</t>
  </si>
  <si>
    <t>Negocio</t>
  </si>
  <si>
    <t xml:space="preserve">Reservas mensuales promedio hotel</t>
  </si>
  <si>
    <t>reservas/mes</t>
  </si>
  <si>
    <t xml:space="preserve">Capacidad: 9 habitaciones (promedio 35 en baja, 60 en alta)</t>
  </si>
  <si>
    <t xml:space="preserve">Comisión promedio OTA evitada</t>
  </si>
  <si>
    <t>COP/reserva</t>
  </si>
  <si>
    <t xml:space="preserve">Comisión Booking/Airbnb del 18% sobre noche base de $180.000 COP</t>
  </si>
  <si>
    <t xml:space="preserve">Tarifa promedio por noche habitación</t>
  </si>
  <si>
    <t>COP/noche</t>
  </si>
  <si>
    <t xml:space="preserve">Tarifa promedio ponderada de habitaciones estándar y suites</t>
  </si>
  <si>
    <t xml:space="preserve">D.1 RESULTADOS CLAVE DEL ANÁLISIS PRESUPUESTAL</t>
  </si>
  <si>
    <t>#</t>
  </si>
  <si>
    <t xml:space="preserve">Indicador Presupuestal Clave</t>
  </si>
  <si>
    <t xml:space="preserve">Valor en COP</t>
  </si>
  <si>
    <t xml:space="preserve">Valor en USD</t>
  </si>
  <si>
    <t xml:space="preserve">% del Total</t>
  </si>
  <si>
    <t xml:space="preserve">Alcance, Componentes y Criterio de Decisión</t>
  </si>
  <si>
    <t>1</t>
  </si>
  <si>
    <t xml:space="preserve">Costo de implementación (CAPEX)</t>
  </si>
  <si>
    <t xml:space="preserve">Construcción completa de 150 SP ($21.0M) + Puesta en marcha en Sevilla ($1.53M) + Reserva contingencias ($2.15M)</t>
  </si>
  <si>
    <t>2</t>
  </si>
  <si>
    <t xml:space="preserve">Costo mensual de operación (OPEX)</t>
  </si>
  <si>
    <t xml:space="preserve">Infraestructura nube ($54.642/mes) + APIs y línea ($55.200/mes) + Soporte preventivo/correctivo ($180.000/mes)</t>
  </si>
  <si>
    <t>3</t>
  </si>
  <si>
    <t xml:space="preserve">Costo estimado del primer año (TCO)</t>
  </si>
  <si>
    <t xml:space="preserve">Costo total de propiedad Año 1: Implementación CAPEX + 12 meses de operación y soporte en producción</t>
  </si>
  <si>
    <t>4</t>
  </si>
  <si>
    <t xml:space="preserve">Costos pendientes de validar</t>
  </si>
  <si>
    <t xml:space="preserve">Rubros basados en supuestos o pendientes de confirmación final con el cliente (no se duplican en el total)</t>
  </si>
  <si>
    <t xml:space="preserve">D.2 PRINCIPALES COMPONENTES DE COSTO Y SU JUSTIFICACIÓN TÉCNICA</t>
  </si>
  <si>
    <t xml:space="preserve">Componente de Costo</t>
  </si>
  <si>
    <t>Tipo</t>
  </si>
  <si>
    <t xml:space="preserve">Implementación (CAPEX)</t>
  </si>
  <si>
    <t xml:space="preserve">Operación 12m (OPEX)</t>
  </si>
  <si>
    <t xml:space="preserve">Costo Total Año 1</t>
  </si>
  <si>
    <t xml:space="preserve">Justificación Técnica y Causa del Valor</t>
  </si>
  <si>
    <t xml:space="preserve">Desarrollo e Ingeniería</t>
  </si>
  <si>
    <t>CAPEX</t>
  </si>
  <si>
    <t xml:space="preserve">El componente mayor (74,57%). Construcción de 6 épicas, chatbot y API hexagonal en 5 sprints.</t>
  </si>
  <si>
    <t xml:space="preserve">Puesta en Marcha en Sevilla</t>
  </si>
  <si>
    <t xml:space="preserve">Despliegue servidor, verificación en Meta, carga inicial de habitaciones y viaje presencial a Sevilla.</t>
  </si>
  <si>
    <t xml:space="preserve">Reserva de Contingencia</t>
  </si>
  <si>
    <t xml:space="preserve">Respaldo monetario asignado riesgo por riesgo (9,56% de implementación) para mitigar TRM y reglas.</t>
  </si>
  <si>
    <t xml:space="preserve">Infraestructura Cloud y Dominio</t>
  </si>
  <si>
    <t>OPEX</t>
  </si>
  <si>
    <t xml:space="preserve">Servidor Linux VPS (4GB RAM) + Cloudflare R2 + Dominio oficial. $0 durante desarrollo; $54.642/mes prod.</t>
  </si>
  <si>
    <t xml:space="preserve">WhatsApp Cloud API, Gemini e IA</t>
  </si>
  <si>
    <t xml:space="preserve">Costo por uso Meta y Gemini Flash Lite + SIM bot. $0 en desarrollo; $55.200/mes en producción.</t>
  </si>
  <si>
    <t xml:space="preserve">Soporte y Mantenimiento Técnico</t>
  </si>
  <si>
    <t xml:space="preserve">Acompañamiento post-entrega (5 h/mes): revisión de copias de seguridad, parches y soporte a recepción.</t>
  </si>
  <si>
    <t xml:space="preserve">TOTAL GENERAL (AÑO 1)</t>
  </si>
  <si>
    <t>TCO</t>
  </si>
  <si>
    <t xml:space="preserve">D.3 CLASIFICACIÓN FINANCIERA: CAPEX (INVERSIÓN) VS. OPEX (SOSTENIMIENTO)</t>
  </si>
  <si>
    <t>Clasificación</t>
  </si>
  <si>
    <t xml:space="preserve">Concepto Presupuestal</t>
  </si>
  <si>
    <t xml:space="preserve">Criterio Contable y Financiero</t>
  </si>
  <si>
    <t xml:space="preserve">Desarrollo e ingeniería (600 h, 5 Sprints)</t>
  </si>
  <si>
    <t xml:space="preserve">Inversión inicial en activo intangible de software propio</t>
  </si>
  <si>
    <t xml:space="preserve">Puesta en marcha, parametrización y capacitación presencial</t>
  </si>
  <si>
    <t xml:space="preserve">Gastos únicos de instalación y transferencia tecnológica al hotel</t>
  </si>
  <si>
    <t xml:space="preserve">Reserva de contingencia calculada por riesgos</t>
  </si>
  <si>
    <t xml:space="preserve">Colchón de seguridad para fluctuaciones TRM y cambios de regla</t>
  </si>
  <si>
    <t xml:space="preserve">TOTAL CAPEX</t>
  </si>
  <si>
    <t xml:space="preserve">Subtotal Inversión Inicial Requerida</t>
  </si>
  <si>
    <t xml:space="preserve">Total desembolso único de implementación del sistema</t>
  </si>
  <si>
    <t xml:space="preserve">Infraestructura Cloud y Dominio en Producción (12 meses)</t>
  </si>
  <si>
    <t xml:space="preserve">Costo de servidor Linux 24/7 y dominio web ($54.642/mes)</t>
  </si>
  <si>
    <t xml:space="preserve">Meta WhatsApp Cloud API, Gemini Flash Lite y SIM bot</t>
  </si>
  <si>
    <t xml:space="preserve">Consumo por uso de mensajería conversacional e IA ($55.200/mes)</t>
  </si>
  <si>
    <t xml:space="preserve">Bolsa de Soporte y Mantenimiento Técnico (5 h/mes por 12 meses)</t>
  </si>
  <si>
    <t xml:space="preserve">Acompañamiento técnico, parches y copias ($180.000/mes)</t>
  </si>
  <si>
    <t xml:space="preserve">TOTAL OPEX</t>
  </si>
  <si>
    <t xml:space="preserve">Subtotal Gasto Recurrente Anual en Producción</t>
  </si>
  <si>
    <t xml:space="preserve">Costo de operación y sostenimiento anual en producción</t>
  </si>
  <si>
    <t xml:space="preserve">TOTAL GENERAL</t>
  </si>
  <si>
    <t xml:space="preserve">Costo Total de Propiedad Primer Año (CAPEX + OPEX)</t>
  </si>
  <si>
    <t xml:space="preserve">Control de verificación: Debe coincidir exactamente con el TCO</t>
  </si>
  <si>
    <t xml:space="preserve">D.4 MÉTRICAS DE IMPACTO EN EL NEGOCIO HOTELERO (ROI, SOSTENIBILIDAD Y PAYBACK)</t>
  </si>
  <si>
    <t xml:space="preserve">Indicador Financiero / Operativo</t>
  </si>
  <si>
    <t xml:space="preserve">Valor Estimado</t>
  </si>
  <si>
    <t xml:space="preserve">Fórmula y Base de Cálculo</t>
  </si>
  <si>
    <t xml:space="preserve">Impacto Estratégico para Torre Satori</t>
  </si>
  <si>
    <t xml:space="preserve">Costo tecnológico por reserva procesada</t>
  </si>
  <si>
    <t xml:space="preserve">OPEX tecnológico puro ($1.318.100) / 480 reservas anuales</t>
  </si>
  <si>
    <t xml:space="preserve">Costo mínimo ($2.746 COP por reserva) frente a comisiones OTAs del 18% ($32.400 COP/noche)</t>
  </si>
  <si>
    <t xml:space="preserve">Ahorro anual frente a PMS comercial (Cloudbeds/Mews)</t>
  </si>
  <si>
    <t>COP/año</t>
  </si>
  <si>
    <t xml:space="preserve">Costo PMS comercial ($1.369.500/mes) − OPEX Torre Satori ($289.842/mes)</t>
  </si>
  <si>
    <t xml:space="preserve">El hotel ahorra $12.955.900 COP anuales en suscripciones de software propietario</t>
  </si>
  <si>
    <t xml:space="preserve">Ingresos anuales recuperados por chatbot 24/7</t>
  </si>
  <si>
    <t xml:space="preserve">4 reservas/mes capturadas fuera de horario de recepción × $180.000 COP</t>
  </si>
  <si>
    <t xml:space="preserve">El bot convierte oportunidades nocturnas que antes se perdían ($8.640.000 COP/año)</t>
  </si>
  <si>
    <t xml:space="preserve">Beneficio económico neto anual para el hotel</t>
  </si>
  <si>
    <t xml:space="preserve">Ahorro neto en software (ya descontado OPEX) + Nuevas reservas</t>
  </si>
  <si>
    <t xml:space="preserve">Impacto positivo neto anual de más de $21.5 millones de COP para el hotel</t>
  </si>
  <si>
    <t xml:space="preserve">Período de recuperación de la inversión (Payback)</t>
  </si>
  <si>
    <t>meses</t>
  </si>
  <si>
    <t xml:space="preserve">Inversión CAPEX ($24.68M) / Beneficio mensual generado ($1.79M)</t>
  </si>
  <si>
    <t xml:space="preserve">La inversión se amortiza completamente en aproximadamente 13,7 meses de operación</t>
  </si>
  <si>
    <t xml:space="preserve">D.5 RESPUESTAS FORMALES A LAS PREGUNTAS ESTRATÉGICAS DEL GUION 3</t>
  </si>
  <si>
    <t xml:space="preserve">Pregunta 1</t>
  </si>
  <si>
    <t xml:space="preserve">¿El alcance actual del MVP es coherente con el costo estimado?</t>
  </si>
  <si>
    <t>Análisis</t>
  </si>
  <si>
    <t xml:space="preserve">Sí, es totalmente coherente. La inversión inicial de $24.685.000 COP y el costo de sostenimiento de $289.800 COP/mes cubren con exactitud lo necesario para la operación del hotel: atención y reservas automáticas 24/7 por WhatsApp, cobro de anticipos en línea, panel de recepción y un sistema blindado que impide la sobreventa de habitaciones. Es una solución hecha a la medida que resulta mucho más rentable y económica que pagar suscripciones mensuales de software comercial.</t>
  </si>
  <si>
    <t xml:space="preserve">Pregunta 2</t>
  </si>
  <si>
    <t xml:space="preserve">¿Qué componente o servicio representa el mayor costo y por qué?</t>
  </si>
  <si>
    <t xml:space="preserve">El Desarrollo de Software ($21.000.000 COP), que representa el 74,5% del costo total del primer año. Se justifica porque corresponde a 600 horas de trabajo de 3 ingenieros durante 10 semanas para programar, probar y dejar listo todo el sistema (chatbot, pagos, panel web y base de datos). Por el contrario, la infraestructura es sumamente económica: mantener los servidores y la inteligencia artificial apenas cuesta $55.000 COP/mes, haciendo que el sistema sea muy barato de sostener a largo plazo.</t>
  </si>
  <si>
    <t xml:space="preserve">Pregunta 3</t>
  </si>
  <si>
    <t xml:space="preserve">Si tuviéramos que reducir el presupuesto, ¿qué ajustaríamos sin perder el valor principal de la solución?</t>
  </si>
  <si>
    <t xml:space="preserve">Postergaríamos a una segunda etapa las funciones que el hotel puede manejar manualmente al principio: el cálculo automático de turnos y nómina, el programa de fidelización de clientes y el panel interno de reseñas. Además, haríamos la capacitación de forma semipresencial (un día en el hotel y el resto virtual) y reduciríamos a la mitad las horas de soporte técnico mensual. Esto mantiene intacto el valor principal del sistema (reservas 24/7 por WhatsApp, cobros en línea y prevención de sobreventas), ahorrando de inmediato $3.000.000 COP en la implementación y $4.120.000 COP en el costo total del primer año.</t>
  </si>
  <si>
    <t xml:space="preserve">E. SEGUIMIENTO DE VELOCIDAD SCRUM Y VALOR GANADO (EVM) POR SPRINT</t>
  </si>
  <si>
    <t>Sprint</t>
  </si>
  <si>
    <t xml:space="preserve">Meta y Alcance Técnico Principal</t>
  </si>
  <si>
    <t>Fechas</t>
  </si>
  <si>
    <t xml:space="preserve">SP Plan</t>
  </si>
  <si>
    <t>Horas</t>
  </si>
  <si>
    <t xml:space="preserve">Costo Sprint (PV)</t>
  </si>
  <si>
    <t xml:space="preserve">Costo por SP</t>
  </si>
  <si>
    <t xml:space="preserve">SP Ganados</t>
  </si>
  <si>
    <t xml:space="preserve">Valor Ganado (EV)</t>
  </si>
  <si>
    <t xml:space="preserve">Sprint 1</t>
  </si>
  <si>
    <t xml:space="preserve">Arquitectura hexagonal, Docker, PostgreSQL/Redis, JWT y bloqueo RN-02</t>
  </si>
  <si>
    <t xml:space="preserve">14 sep – 25 sep</t>
  </si>
  <si>
    <t xml:space="preserve">Sprint 2</t>
  </si>
  <si>
    <t xml:space="preserve">Chatbot WhatsApp V8, reserva guiada, abono 50%/100%, cancelaciones RN-03</t>
  </si>
  <si>
    <t xml:space="preserve">28 sep – 09 oct</t>
  </si>
  <si>
    <t xml:space="preserve">Sprint 3</t>
  </si>
  <si>
    <t xml:space="preserve">Asistente IA autónomo Gemini, panel web, check-in, check-out y reserva manual</t>
  </si>
  <si>
    <t xml:space="preserve">12 oct – 23 oct</t>
  </si>
  <si>
    <t xml:space="preserve">Sprint 4</t>
  </si>
  <si>
    <t xml:space="preserve">Tienda e inventario (RN-04), finanzas, egresos, sueldos e informe contable Excel</t>
  </si>
  <si>
    <t xml:space="preserve">26 oct – 06 nov</t>
  </si>
  <si>
    <t xml:space="preserve">Sprint 5</t>
  </si>
  <si>
    <t xml:space="preserve">Reseñas persistidas, fidelización, roles, auditoría, QA concurrencia y cierre</t>
  </si>
  <si>
    <t xml:space="preserve">09 nov – 20 nov</t>
  </si>
  <si>
    <t>TOTAL</t>
  </si>
  <si>
    <t xml:space="preserve">Desarrollo completo del Backlog del MVP (5 Sprints)</t>
  </si>
  <si>
    <t xml:space="preserve">MATRIZ DETALLADA DE COSTOS DEL PROYECTO — CAPEX Y OPEX</t>
  </si>
  <si>
    <t xml:space="preserve">Cálculo fundamentado partida por partida · Costo Total = Cantidad × Costo Unitario · Fórmulas dinámicas vinculadas</t>
  </si>
  <si>
    <t xml:space="preserve">B.1 CONSTRUCCIÓN DE LA SOLUCIÓN (5 SPRINTS DE DESARROLLO — CAPEX)</t>
  </si>
  <si>
    <t>Componente</t>
  </si>
  <si>
    <t xml:space="preserve">Recurso / Actividad / Servicio</t>
  </si>
  <si>
    <t>Cantidad</t>
  </si>
  <si>
    <t xml:space="preserve">Costo Unitario (COP)</t>
  </si>
  <si>
    <t xml:space="preserve">Costo Total (COP)</t>
  </si>
  <si>
    <t>CAPEX/OPEX</t>
  </si>
  <si>
    <t>EDT</t>
  </si>
  <si>
    <t>Validación</t>
  </si>
  <si>
    <t>01</t>
  </si>
  <si>
    <t>Desarrollo</t>
  </si>
  <si>
    <t xml:space="preserve">Horas de programación y codificación (Spring Boot 3.3, React, n8n)</t>
  </si>
  <si>
    <t>Único</t>
  </si>
  <si>
    <t>Historias</t>
  </si>
  <si>
    <t>02</t>
  </si>
  <si>
    <t xml:space="preserve">Calidad / QA</t>
  </si>
  <si>
    <t xml:space="preserve">Horas de pruebas unitarias, integración y concurrencia (DoD 20%)</t>
  </si>
  <si>
    <t>03</t>
  </si>
  <si>
    <t>Revisión</t>
  </si>
  <si>
    <t xml:space="preserve">Horas de correcciones tras revisión de par y verificación PO (DoD 10%)</t>
  </si>
  <si>
    <t>04</t>
  </si>
  <si>
    <t>Documentación</t>
  </si>
  <si>
    <t xml:space="preserve">Horas de documentación técnica, Swagger/OpenAPI y ADR (DoD 10%)</t>
  </si>
  <si>
    <t>05</t>
  </si>
  <si>
    <t xml:space="preserve">Despliegue Test</t>
  </si>
  <si>
    <t xml:space="preserve">Horas de despliegue en ambiente local y contenedores de prueba (DoD 5%)</t>
  </si>
  <si>
    <t>06</t>
  </si>
  <si>
    <t xml:space="preserve">Entorno Dev</t>
  </si>
  <si>
    <t xml:space="preserve">Herramientas de desarrollo, IDEs y computadores propios del equipo</t>
  </si>
  <si>
    <t>entorno</t>
  </si>
  <si>
    <t>1.0</t>
  </si>
  <si>
    <t>07</t>
  </si>
  <si>
    <t xml:space="preserve">Pruebas WhatsApp</t>
  </si>
  <si>
    <t xml:space="preserve">Consumo de Meta WhatsApp Cloud API durante pruebas del semestre</t>
  </si>
  <si>
    <t xml:space="preserve">Según uso</t>
  </si>
  <si>
    <t>mensajes</t>
  </si>
  <si>
    <t>3.0</t>
  </si>
  <si>
    <t>08</t>
  </si>
  <si>
    <t xml:space="preserve">Pruebas IA</t>
  </si>
  <si>
    <t xml:space="preserve">Consultas de prueba al modelo Google Gemini Flash Lite en desarrollo</t>
  </si>
  <si>
    <t>consultas</t>
  </si>
  <si>
    <t>09</t>
  </si>
  <si>
    <t xml:space="preserve">Pasarela Pruebas</t>
  </si>
  <si>
    <t xml:space="preserve">Entorno Sandbox MercadoPago para pruebas de checkout y webhooks</t>
  </si>
  <si>
    <t>sandbox</t>
  </si>
  <si>
    <t>5.0</t>
  </si>
  <si>
    <t xml:space="preserve">SUBTOTAL B.1</t>
  </si>
  <si>
    <t xml:space="preserve">Subtotal Construcción de la Solución (Ingeniería y Desarrollo de 150 SP)</t>
  </si>
  <si>
    <t xml:space="preserve">B.2 PUESTA EN OPERACIÓN, PARAMETRIZACIÓN Y CAPACITACIÓN EN SEVILLA (FASE 10 — CAPEX)</t>
  </si>
  <si>
    <t>10</t>
  </si>
  <si>
    <t>Despliegue</t>
  </si>
  <si>
    <t xml:space="preserve">Configuración de servidor VPS de producción, contenedores Docker y Cloudflare Tunnel</t>
  </si>
  <si>
    <t>10.0</t>
  </si>
  <si>
    <t>11</t>
  </si>
  <si>
    <t>Integraciones</t>
  </si>
  <si>
    <t xml:space="preserve">Gestión y verificación de cuenta comercial en Meta Business Manager para número oficial</t>
  </si>
  <si>
    <t>12</t>
  </si>
  <si>
    <t>Parametrización</t>
  </si>
  <si>
    <t xml:space="preserve">Carga inicial de habitaciones, fotos, reglas de cobro (RN-01), catálogo e inventario inicial</t>
  </si>
  <si>
    <t>13</t>
  </si>
  <si>
    <t>Capacitación</t>
  </si>
  <si>
    <t xml:space="preserve">Capacitación presencial al administrador y recepcionista en el hotel en Sevilla</t>
  </si>
  <si>
    <t>14</t>
  </si>
  <si>
    <t>Viáticos</t>
  </si>
  <si>
    <t xml:space="preserve">Transporte intermunicipal Cali – Sevilla – Cali y alimentación para jornada presencial</t>
  </si>
  <si>
    <t>global</t>
  </si>
  <si>
    <t xml:space="preserve">SUBTOTAL B.2</t>
  </si>
  <si>
    <t xml:space="preserve">Subtotal Puesta en Operación, Despliegue y Capacitación en Sevilla</t>
  </si>
  <si>
    <t xml:space="preserve">B.3 RESERVA DE CONTINGENCIA CALCULADA RIESGO POR RIESGO (VALOR MONETARIO ESPERADO — CAPEX)</t>
  </si>
  <si>
    <t>Código</t>
  </si>
  <si>
    <t xml:space="preserve">Riesgo Técnico / Operativo</t>
  </si>
  <si>
    <t xml:space="preserve">Justificación y Causa Potencial</t>
  </si>
  <si>
    <t xml:space="preserve">Impacto Si Ocurre</t>
  </si>
  <si>
    <t>Probabilidad</t>
  </si>
  <si>
    <t xml:space="preserve">Reserva Asignada (COP)</t>
  </si>
  <si>
    <t xml:space="preserve">Estrategia de Mitigación</t>
  </si>
  <si>
    <t>R-01</t>
  </si>
  <si>
    <t xml:space="preserve">Subida de la tasa de cambio TRM</t>
  </si>
  <si>
    <t xml:space="preserve">Fluctuación del dólar por encima de $4.500 COP afectando cobro de VPS y APIs</t>
  </si>
  <si>
    <t>Riesgo</t>
  </si>
  <si>
    <t>COP</t>
  </si>
  <si>
    <t xml:space="preserve">Colchón de cobertura cambiaria anual</t>
  </si>
  <si>
    <t>R-02</t>
  </si>
  <si>
    <t xml:space="preserve">Demoras en verificación Meta</t>
  </si>
  <si>
    <t xml:space="preserve">Trámite extendido de validación comercial de Meta Business Manager para el bot</t>
  </si>
  <si>
    <t xml:space="preserve">Iniciar trámite temprano con documentos del hotel</t>
  </si>
  <si>
    <t>R-03</t>
  </si>
  <si>
    <t xml:space="preserve">Mayor tráfico de mensajes e IA</t>
  </si>
  <si>
    <t xml:space="preserve">Picos de consultas en temporadas turísticas de Sevilla excediendo la bolsa base</t>
  </si>
  <si>
    <t xml:space="preserve">Optimización de prompts en Gemini y rate limiting</t>
  </si>
  <si>
    <t>R-04</t>
  </si>
  <si>
    <t xml:space="preserve">Cambio en reglas con stakeholder</t>
  </si>
  <si>
    <t xml:space="preserve">Ajustes tardíos en fórmula de sueldo de recepción (HU-07) o fidelización (HU-12)</t>
  </si>
  <si>
    <t xml:space="preserve">Parámetros configurables en BD en vez de código fijo</t>
  </si>
  <si>
    <t>R-05</t>
  </si>
  <si>
    <t xml:space="preserve">Complejidad concurrencia Redis</t>
  </si>
  <si>
    <t xml:space="preserve">Casos límite en bloqueos temporales concurrentes de habitaciones (RN-02)</t>
  </si>
  <si>
    <t>9.0</t>
  </si>
  <si>
    <t xml:space="preserve">Suite de pruebas automatizadas y scripts Lua atómicos</t>
  </si>
  <si>
    <t>R-06</t>
  </si>
  <si>
    <t xml:space="preserve">Ajustes de usabilidad en bot/web</t>
  </si>
  <si>
    <t xml:space="preserve">Cambios solicitados por el personal del hotel tras la capacitación en recepción</t>
  </si>
  <si>
    <t xml:space="preserve">Prototipado interactivo temprano y validación PO</t>
  </si>
  <si>
    <t xml:space="preserve">SUBTOTAL B.3</t>
  </si>
  <si>
    <t xml:space="preserve">Total Reserva de Contingencia Asignada por Riesgos (9,56% de implementación directa)</t>
  </si>
  <si>
    <t xml:space="preserve">TOTAL COSTO DE IMPLEMENTACIÓN (Construcción B.1 + Puesta en Operación B.2 + Contingencia B.3)</t>
  </si>
  <si>
    <t xml:space="preserve">C. COSTOS RECURRENTES DE OPERACIÓN Y MANTENIMIENTO EN PRODUCCIÓN (12 MESES — OPEX)</t>
  </si>
  <si>
    <t>15</t>
  </si>
  <si>
    <t>Infraestructura</t>
  </si>
  <si>
    <t xml:space="preserve">Servidor Cloud VPS Linux (4 GB RAM, 2 vCPU, 80 GB SSD para Spring Boot/Redis/n8n/Postgres)</t>
  </si>
  <si>
    <t>Recurrente</t>
  </si>
  <si>
    <t>16</t>
  </si>
  <si>
    <t xml:space="preserve">Dominio web oficial (ej. torresatoripms.com) y DNS gestionado</t>
  </si>
  <si>
    <t>año</t>
  </si>
  <si>
    <t>17</t>
  </si>
  <si>
    <t xml:space="preserve">Alojamiento web frontend React (Cloudflare Pages / Vercel)</t>
  </si>
  <si>
    <t>18</t>
  </si>
  <si>
    <t xml:space="preserve">Almacenamiento de facturas, adjuntos y backups (Cloudflare R2, 10 GB gratis)</t>
  </si>
  <si>
    <t xml:space="preserve">SUBTOTAL C.1</t>
  </si>
  <si>
    <t xml:space="preserve">Subtotal Infraestructura en la Nube y Dominio (Anual: $655.700 COP | Mensual equiv: $54.642 COP)</t>
  </si>
  <si>
    <t>19</t>
  </si>
  <si>
    <t xml:space="preserve">Meta WhatsApp Business Cloud API (bolsa de mensajes de confirmación y marketing)</t>
  </si>
  <si>
    <t>20</t>
  </si>
  <si>
    <t xml:space="preserve">Google Gemini Flash Lite API (modelo de IA para recomendaciones y extracción de fechas)</t>
  </si>
  <si>
    <t>21</t>
  </si>
  <si>
    <t xml:space="preserve">Línea Móvil</t>
  </si>
  <si>
    <t xml:space="preserve">Línea celular dedicada exclusiva para WhatsApp del hotel (plan pospago básico)</t>
  </si>
  <si>
    <t>22</t>
  </si>
  <si>
    <t xml:space="preserve">Pasarela Pagos</t>
  </si>
  <si>
    <t xml:space="preserve">Pasarela MercadoPago (Sandbox gratuito en MVP; sin costo fijo mensual en producción)</t>
  </si>
  <si>
    <t xml:space="preserve">SUBTOTAL C.2</t>
  </si>
  <si>
    <t xml:space="preserve">Subtotal Software, APIs de IA y Línea Móvil (Anual: $662.400 COP | Mensual equiv: $55.200 COP)</t>
  </si>
  <si>
    <t>23</t>
  </si>
  <si>
    <t>Soporte</t>
  </si>
  <si>
    <t xml:space="preserve">Bolsa de mantenimiento preventivo, soporte a recepción y parches (5 h/mes)</t>
  </si>
  <si>
    <t>11.0</t>
  </si>
  <si>
    <t>24</t>
  </si>
  <si>
    <t xml:space="preserve">Prueba mensual de restauración y recuperación de copias de seguridad de PostgreSQL</t>
  </si>
  <si>
    <t xml:space="preserve">SUBTOTAL C.3</t>
  </si>
  <si>
    <t xml:space="preserve">Subtotal Soporte y Mantenimiento Técnico Post-Entrega (Anual: $2.160.000 COP | Mensual equiv: $180.000 COP)</t>
  </si>
  <si>
    <t xml:space="preserve">TOTAL OPEX ANUAL</t>
  </si>
  <si>
    <t xml:space="preserve">TOTAL COSTO ANUAL DE OPERACIÓN Y MANTENIMIENTO (12 MESES DE PRODUCCIÓN)</t>
  </si>
  <si>
    <t xml:space="preserve">OPEX MENSUAL</t>
  </si>
  <si>
    <t xml:space="preserve">Costo Mensual Equivalente de Operación (Total Anual / 12 meses)</t>
  </si>
  <si>
    <t>PENDIENTES</t>
  </si>
  <si>
    <t xml:space="preserve">Total Costos Sujetos a Supuestos o Pendientes de Validación Final (Solo partidas con estado 'Estimado')</t>
  </si>
  <si>
    <t xml:space="preserve">C.1 CRUCE DE LA ESTRUCTURA DE DESGLOSE DE TRABAJO (EDT) CON EL PRESUPUESTO Y VALOR GANADO</t>
  </si>
  <si>
    <t xml:space="preserve">Fase de la EDT</t>
  </si>
  <si>
    <t xml:space="preserve">Casos de Uso / Historias Asociadas</t>
  </si>
  <si>
    <t xml:space="preserve">Costo Horas (COP)</t>
  </si>
  <si>
    <t xml:space="preserve">Otros Costos (COP)</t>
  </si>
  <si>
    <t xml:space="preserve">Valor Ejecutado (EV)</t>
  </si>
  <si>
    <t xml:space="preserve">Gestión del Proyecto (Transversal)</t>
  </si>
  <si>
    <t xml:space="preserve">Ceremonias Scrum, seguimiento y control de riesgos</t>
  </si>
  <si>
    <t xml:space="preserve">S1 – S5</t>
  </si>
  <si>
    <t>2.0</t>
  </si>
  <si>
    <t xml:space="preserve">Análisis y Diseño de Arquitectura y Datos</t>
  </si>
  <si>
    <t xml:space="preserve">HUT-01 a HUT-06 (Arquitectura hexagonal, Docker, Postgres, Redis)</t>
  </si>
  <si>
    <t>S1</t>
  </si>
  <si>
    <t xml:space="preserve">Épica 1: Reservas y Chatbot WhatsApp</t>
  </si>
  <si>
    <t xml:space="preserve">CU-01, CU-02, HU-06, HU-08, HU-09 (Motor WhatsApp, abonos, cancelaciones)</t>
  </si>
  <si>
    <t xml:space="preserve">S2 – S3</t>
  </si>
  <si>
    <t>4.0</t>
  </si>
  <si>
    <t xml:space="preserve">Épica 2: Gestión Operativa en App Web</t>
  </si>
  <si>
    <t xml:space="preserve">CU-03, CU-04, CU-08, HU-03 (Calendario, check-in, check-out, reservas manuales)</t>
  </si>
  <si>
    <t>S3</t>
  </si>
  <si>
    <t xml:space="preserve">Épica 3: Facturación y Finanzas</t>
  </si>
  <si>
    <t xml:space="preserve">CU-06, HU-01, HU-07, HU-13 (Ingresos/egresos, informe Excel, sueldos)</t>
  </si>
  <si>
    <t>S4</t>
  </si>
  <si>
    <t>6.0</t>
  </si>
  <si>
    <t xml:space="preserve">Épica 4: Tienda e Inventario</t>
  </si>
  <si>
    <t xml:space="preserve">CU-05, CU-07, RN-04, HU-14 (Catálogo productos, consumos, stock inmutable)</t>
  </si>
  <si>
    <t>7.0</t>
  </si>
  <si>
    <t xml:space="preserve">Épica 5: Reseñas y Fidelización</t>
  </si>
  <si>
    <t xml:space="preserve">HU-02, HU-04, HU-10, HU-12 (Reseñas persistidas, Google Reviews, huéspedes)</t>
  </si>
  <si>
    <t>S5</t>
  </si>
  <si>
    <t>8.0</t>
  </si>
  <si>
    <t xml:space="preserve">Épica 6: Administración de Roles y Auditoría</t>
  </si>
  <si>
    <t xml:space="preserve">HU-05, HU-11, HU-15 (Autenticación JWT, control de acceso y trazabilidad)</t>
  </si>
  <si>
    <t xml:space="preserve">Pruebas y Aseguramiento de Calidad (QA)</t>
  </si>
  <si>
    <t xml:space="preserve">HUT-08 (Pruebas de concurrencia RedisLock, integración y estabilidad)</t>
  </si>
  <si>
    <t xml:space="preserve">Puesta en Marcha y Capacitación en Sevilla</t>
  </si>
  <si>
    <t xml:space="preserve">HUT-09, HUT-10 (Despliegue VPS, parametrización hotel y capacitación)</t>
  </si>
  <si>
    <t xml:space="preserve">Documentación Técnica, Manuales y Cierre</t>
  </si>
  <si>
    <t xml:space="preserve">HUT-10 (Manuales de usuario, arquitectura hexagonal y cierre formal)</t>
  </si>
  <si>
    <t xml:space="preserve">TOTAL EDT</t>
  </si>
  <si>
    <t xml:space="preserve">Total Implementación Directa Fases 1.0 a 11.0 (Sin incluir Reserva de Contingencias)</t>
  </si>
  <si>
    <t xml:space="preserve">CATÁLOGO DE HISTORIAS DE USUARIO, TAREAS TÉCNICAS Y VALOR GANADO (EVM)</t>
  </si>
  <si>
    <t xml:space="preserve">Torre Satori PMS · Backlog del MVP (150 Story Points en 5 Sprints) · Definición de Hecho (DoD) y Seguimiento de Valor Ganado</t>
  </si>
  <si>
    <t xml:space="preserve">CRITERIO DE AVANCE SEGÚN ESTADO EN EL TABLERO SCRUM</t>
  </si>
  <si>
    <t xml:space="preserve">Estado del Tablero</t>
  </si>
  <si>
    <t xml:space="preserve">% Avance</t>
  </si>
  <si>
    <t xml:space="preserve">Descripción del Criterio de Control</t>
  </si>
  <si>
    <t>Done</t>
  </si>
  <si>
    <t xml:space="preserve">Criterio de aceptación validado por el Product Owner y DoD cumplida al 100%</t>
  </si>
  <si>
    <t xml:space="preserve">QA / Testing</t>
  </si>
  <si>
    <t xml:space="preserve">Funcionalidad construida; en pruebas de concurrencia e integración</t>
  </si>
  <si>
    <t xml:space="preserve">In Review</t>
  </si>
  <si>
    <t xml:space="preserve">Pull request en revisión de pares de código y arquitectura</t>
  </si>
  <si>
    <t xml:space="preserve">In Progress</t>
  </si>
  <si>
    <t xml:space="preserve">Desarrollo activo de la funcionalidad en el sprint en curso</t>
  </si>
  <si>
    <t>Blocked</t>
  </si>
  <si>
    <t xml:space="preserve">Trabajo iniciado pero bloqueado por dependencia externa o regla pendiente</t>
  </si>
  <si>
    <t>Ready</t>
  </si>
  <si>
    <t xml:space="preserve">Historia refinada con criterios de aceptación lista para iniciar</t>
  </si>
  <si>
    <t>Backlog</t>
  </si>
  <si>
    <t xml:space="preserve">Historia priorizada en el backlog pendiente de asignación a sprint</t>
  </si>
  <si>
    <t>ID</t>
  </si>
  <si>
    <t xml:space="preserve">Requerimiento / Historia de Usuario / Tarea Técnica</t>
  </si>
  <si>
    <t xml:space="preserve">Épica / Módulo</t>
  </si>
  <si>
    <t>MoSCoW</t>
  </si>
  <si>
    <t>MVP</t>
  </si>
  <si>
    <t xml:space="preserve">¿En Presup.?</t>
  </si>
  <si>
    <t xml:space="preserve">Código (55%)</t>
  </si>
  <si>
    <t xml:space="preserve">Pruebas (20%)</t>
  </si>
  <si>
    <t xml:space="preserve">Correc. (10%)</t>
  </si>
  <si>
    <t xml:space="preserve">Docum. (10%)</t>
  </si>
  <si>
    <t xml:space="preserve">Despl. (5%)</t>
  </si>
  <si>
    <t xml:space="preserve">Costo Ejecutado (EV)</t>
  </si>
  <si>
    <t>HUT-01</t>
  </si>
  <si>
    <t xml:space="preserve">Configurar repositorios, monorepo, Docker Compose y DoD</t>
  </si>
  <si>
    <t xml:space="preserve">E0 · Plataforma</t>
  </si>
  <si>
    <t xml:space="preserve">Must have</t>
  </si>
  <si>
    <t>Sí</t>
  </si>
  <si>
    <t>HUT-02</t>
  </si>
  <si>
    <t xml:space="preserve">Diseñar arquitectura hexagonal Spring Boot y modelo PostgreSQL/Redis</t>
  </si>
  <si>
    <t>HUT-03</t>
  </si>
  <si>
    <t xml:space="preserve">Implementar autenticación JWT, roles y control de acceso RBAC</t>
  </si>
  <si>
    <t xml:space="preserve">E6 · Seguridad</t>
  </si>
  <si>
    <t>HUT-04</t>
  </si>
  <si>
    <t xml:space="preserve">Implementar scripts Lua y RedisLockService para bloqueo 15 min anti-overbooking (RN-02)</t>
  </si>
  <si>
    <t>HUT-05</t>
  </si>
  <si>
    <t xml:space="preserve">Implementar restricción de exclusión transaccional PostgreSQL EXCLUDE USING gist (RN-02)</t>
  </si>
  <si>
    <t>HUT-06</t>
  </si>
  <si>
    <t xml:space="preserve">Crear migraciones Flyway V1 a V5 (tablas, catálogos e índices)</t>
  </si>
  <si>
    <t>HU-03a</t>
  </si>
  <si>
    <t xml:space="preserve">Construir modelo de habitaciones, estados (D/O/M/B) y tarifas base por tipo (RN-01)</t>
  </si>
  <si>
    <t xml:space="preserve">E2 · Habitaciones</t>
  </si>
  <si>
    <t>HUT-07</t>
  </si>
  <si>
    <t xml:space="preserve">Orquestar n8n y configurar webhook de WhatsApp con reintentos automáticos</t>
  </si>
  <si>
    <t xml:space="preserve">E1 · Chatbot</t>
  </si>
  <si>
    <t>CU-01</t>
  </si>
  <si>
    <t xml:space="preserve">Construir flujo conversacional de reserva guiada por WhatsApp con cálculo de abono 50%/100%</t>
  </si>
  <si>
    <t>CU-02a</t>
  </si>
  <si>
    <t xml:space="preserve">Construir consulta de reserva por código o documento con detalle de estado y fechas</t>
  </si>
  <si>
    <t>CU-02b</t>
  </si>
  <si>
    <t xml:space="preserve">Construir liquidación y pago del saldo restante en recepción o WhatsApp</t>
  </si>
  <si>
    <t>CU-02c</t>
  </si>
  <si>
    <t xml:space="preserve">Construir cancelación de reservas grupales/individuales y política de reembolso (RN-03)</t>
  </si>
  <si>
    <t>HU-06</t>
  </si>
  <si>
    <t xml:space="preserve">Implementar silenciamiento del bot y escalamiento a operador humano</t>
  </si>
  <si>
    <t xml:space="preserve">Should have</t>
  </si>
  <si>
    <t>HU-09</t>
  </si>
  <si>
    <t xml:space="preserve">Implementar asistente IA autónomo con Google Gemini Flash Lite para dudas frecuentes</t>
  </si>
  <si>
    <t>HU-03b</t>
  </si>
  <si>
    <t xml:space="preserve">Construir panel de habitaciones y calendario interactivo de ocupación (matriz interactiva)</t>
  </si>
  <si>
    <t>CU-03</t>
  </si>
  <si>
    <t xml:space="preserve">Construir módulo operativo de Check-in en web con validación de huéspedes y cédulas</t>
  </si>
  <si>
    <t>CU-04</t>
  </si>
  <si>
    <t xml:space="preserve">Construir módulo de Check-out en web con balance de consumos de tienda y liquidación</t>
  </si>
  <si>
    <t>CU-08</t>
  </si>
  <si>
    <t xml:space="preserve">Construir gestión de reservas manuales para huéspedes sin WhatsApp o walk-in</t>
  </si>
  <si>
    <t>CU-05</t>
  </si>
  <si>
    <t xml:space="preserve">Construir módulo de ventas de tienda en recepción con cargo a la habitación</t>
  </si>
  <si>
    <t xml:space="preserve">E4 · Tienda</t>
  </si>
  <si>
    <t>CU-07</t>
  </si>
  <si>
    <t xml:space="preserve">Construir administración de catálogo de productos, precios y stock mínimo de tienda</t>
  </si>
  <si>
    <t>HU-14</t>
  </si>
  <si>
    <t xml:space="preserve">Construir reporte de rotación de productos de tienda y auditoría de inventario (RN-04)</t>
  </si>
  <si>
    <t>CU-06</t>
  </si>
  <si>
    <t xml:space="preserve">Construir consulta consolidada de ingresos, cobro de anticipos y recaudos del hotel</t>
  </si>
  <si>
    <t xml:space="preserve">E3 · Finanzas</t>
  </si>
  <si>
    <t>HU-13</t>
  </si>
  <si>
    <t xml:space="preserve">Construir registro de egresos operativos del hotel y balance de caja chica</t>
  </si>
  <si>
    <t>HU-01</t>
  </si>
  <si>
    <t xml:space="preserve">Construir generador y exportador de informe contable mensual en formato Excel</t>
  </si>
  <si>
    <t>HU-07</t>
  </si>
  <si>
    <t xml:space="preserve">Construir cálculo automático de sueldo y turnos de recepcionista según parámetros</t>
  </si>
  <si>
    <t xml:space="preserve">Could have</t>
  </si>
  <si>
    <t>HU-02</t>
  </si>
  <si>
    <t xml:space="preserve">Construir consulta de reseñas de huéspedes y cálculo de calificación promedio</t>
  </si>
  <si>
    <t xml:space="preserve">E5 · Reseñas</t>
  </si>
  <si>
    <t>HU-04</t>
  </si>
  <si>
    <t xml:space="preserve">Construir captura de reseñas en chatbot WhatsApp y enlace a Google Reviews</t>
  </si>
  <si>
    <t>HU-10</t>
  </si>
  <si>
    <t xml:space="preserve">Construir panel web de visualización y moderación de comentarios de clientes</t>
  </si>
  <si>
    <t>HU-12</t>
  </si>
  <si>
    <t xml:space="preserve">Construir identificación automática de huéspedes recurrentes para fidelización</t>
  </si>
  <si>
    <t>HU-15</t>
  </si>
  <si>
    <t xml:space="preserve">Construir registro y consulta de auditoría de operaciones por usuario y rol</t>
  </si>
  <si>
    <t>HUT-08</t>
  </si>
  <si>
    <t xml:space="preserve">Ejecutar pruebas automatizadas de concurrencia y estrés anti-overbooking (QA)</t>
  </si>
  <si>
    <t>HUT-09</t>
  </si>
  <si>
    <t xml:space="preserve">Configurar despliegue en VPS Linux de producción con Docker y Cloudflare</t>
  </si>
  <si>
    <t xml:space="preserve">Total Consolidado del Backlog SatoriPMS (150 Story Points de Ingeniería)</t>
  </si>
  <si>
    <t xml:space="preserve">TORRE SATORI PMS — ANÁLISIS DE ESCENARIOS FINANCIEROS Y SENSIBILIDAD</t>
  </si>
  <si>
    <t xml:space="preserve">Evaluación comparativa de alternativas de alcance (Base vs. Optimizado vs. Expandido), Proyección TCO a 3 Años y Sensibilidad</t>
  </si>
  <si>
    <t xml:space="preserve">1. COMPARATIVA DE ESCENARIOS DE ALCANCE, COSTOS Y RETORNO DE INVERSIÓN</t>
  </si>
  <si>
    <t xml:space="preserve">Métrica / Parámetro Presupuestal</t>
  </si>
  <si>
    <t xml:space="preserve">Escenario Optimizado (Lean / MVP Esencial)</t>
  </si>
  <si>
    <t xml:space="preserve">Escenario Base (MVP Torre Satori)</t>
  </si>
  <si>
    <t xml:space="preserve">Escenario Expandido (Multi-propiedad / IoT)</t>
  </si>
  <si>
    <t xml:space="preserve">Diferencia (Opt vs Base)</t>
  </si>
  <si>
    <t xml:space="preserve">Diferencia (Exp vs Base)</t>
  </si>
  <si>
    <t xml:space="preserve">Alcance en Story Points (Backlog)</t>
  </si>
  <si>
    <t xml:space="preserve">Horas totales estimadas de ingeniería</t>
  </si>
  <si>
    <t xml:space="preserve">Costo total de implementación (CAPEX)</t>
  </si>
  <si>
    <t>COP/mes</t>
  </si>
  <si>
    <t xml:space="preserve">Costo anual de operación (OPEX Anual)</t>
  </si>
  <si>
    <t xml:space="preserve">Costo Total de Propiedad Año 1 (TCO)</t>
  </si>
  <si>
    <t xml:space="preserve">Variación porcentual TCO vs. Escenario Base</t>
  </si>
  <si>
    <t>%</t>
  </si>
  <si>
    <t xml:space="preserve">Período de recuperación estimado (Payback)</t>
  </si>
  <si>
    <t>Meses</t>
  </si>
  <si>
    <t xml:space="preserve">Evaluación de riesgo y cobertura de negocio</t>
  </si>
  <si>
    <t>Texto</t>
  </si>
  <si>
    <t xml:space="preserve">Bajo (Difiere analítica compleja a Fase 2)</t>
  </si>
  <si>
    <t xml:space="preserve">Óptimo (Balance costo/beneficio validado)</t>
  </si>
  <si>
    <t xml:space="preserve">Medio-Alto (Dependencia de APIs de OTAs e IoT)</t>
  </si>
  <si>
    <t xml:space="preserve">Menor inversión</t>
  </si>
  <si>
    <t xml:space="preserve">Mayor complejidad</t>
  </si>
  <si>
    <t xml:space="preserve">2. PROYECCIÓN DEL COSTO TOTAL DE PROPIEDAD (TCO) A 3 AÑOS (ESCENARIO BASE)</t>
  </si>
  <si>
    <t xml:space="preserve">Componente Presupuestal</t>
  </si>
  <si>
    <t xml:space="preserve">Base de Cálculo y Supuesto de Proyección</t>
  </si>
  <si>
    <t xml:space="preserve">Año 1 (2026-2027)</t>
  </si>
  <si>
    <t xml:space="preserve">Año 2 (2027-2028)</t>
  </si>
  <si>
    <t xml:space="preserve">Año 3 (2028-2029)</t>
  </si>
  <si>
    <t xml:space="preserve">Total 3 Años (TCO)</t>
  </si>
  <si>
    <t xml:space="preserve">CAPEX: Inversión Inicial (Desarrollo + Despliegue + Contingencia)</t>
  </si>
  <si>
    <t xml:space="preserve">Inversión única en fase de implementación</t>
  </si>
  <si>
    <t xml:space="preserve">OPEX: Infraestructura Cloud (VPS Hetzner + Dominio + Cloudflare)</t>
  </si>
  <si>
    <t xml:space="preserve">Inflación tecnológica proyectada 5% anual</t>
  </si>
  <si>
    <t xml:space="preserve">OPEX: APIs y Conectividad (Meta WhatsApp + Gemini Flash + SIM)</t>
  </si>
  <si>
    <t xml:space="preserve">Subtotal Servicios Tecnológicos Operativos</t>
  </si>
  <si>
    <t xml:space="preserve">Suma de VPS, Dominio, Meta y Gemini IA</t>
  </si>
  <si>
    <t xml:space="preserve">OPEX: Soporte Técnico Preventivo y Correctivo (5 h/mes)</t>
  </si>
  <si>
    <t xml:space="preserve">Reajuste salarial IPC proyectado 6% anual</t>
  </si>
  <si>
    <t xml:space="preserve">TOTAL OPEX ANUAL (Sostenimiento y Operación)</t>
  </si>
  <si>
    <t xml:space="preserve">Infraestructura + APIs + Soporte Técnico</t>
  </si>
  <si>
    <t xml:space="preserve">TOTAL FLUJO DE CAJA ANUAL (CAPEX + OPEX)</t>
  </si>
  <si>
    <t xml:space="preserve">Desembolso efectivo consolidado por período</t>
  </si>
  <si>
    <t xml:space="preserve">TCO ACUMULADO PROGRESIVO</t>
  </si>
  <si>
    <t xml:space="preserve">Costo Total de Propiedad acumulado al final del año</t>
  </si>
  <si>
    <t xml:space="preserve">3. ANÁLISIS DE SENSIBILIDAD OPERATIVA Y PUNTOS DE QUIEBRE</t>
  </si>
  <si>
    <t xml:space="preserve">Variable o Factor de Riesgo Sensible</t>
  </si>
  <si>
    <t xml:space="preserve">Rango de Variación Evaluado</t>
  </si>
  <si>
    <t xml:space="preserve">Caso Favorable / Optimista</t>
  </si>
  <si>
    <t xml:space="preserve">Caso Base / Presupuestado</t>
  </si>
  <si>
    <t xml:space="preserve">Caso Desfavorable / Severo</t>
  </si>
  <si>
    <t xml:space="preserve">Impacto y Mitigación Estratégica</t>
  </si>
  <si>
    <t xml:space="preserve">Sensibilidad a la TRM (COP / USD)</t>
  </si>
  <si>
    <t xml:space="preserve">-10% favorable / +20% devaluación severa</t>
  </si>
  <si>
    <t xml:space="preserve">Impacto muy bajo (&lt;$23.000 COP/mes en servidores y APIs)</t>
  </si>
  <si>
    <t xml:space="preserve">Costo mensual en dólares de Nube y APIs</t>
  </si>
  <si>
    <t xml:space="preserve">18 USD/mes (VPS Hetzner + Meta + Gemini)</t>
  </si>
  <si>
    <t xml:space="preserve">Absorbido plenamente por la contingencia presupuestal</t>
  </si>
  <si>
    <t xml:space="preserve">Sensibilidad al Volumen de Reservas Directas</t>
  </si>
  <si>
    <t xml:space="preserve">20 reservas (baja) vs 40 (base) vs 60 (alta)</t>
  </si>
  <si>
    <t xml:space="preserve">A mayor reserva directa, mayor es el retorno y ahorro</t>
  </si>
  <si>
    <t xml:space="preserve">Comisiones ahorradas a agencias OTAs al mes</t>
  </si>
  <si>
    <t xml:space="preserve">18% evitado sobre tarifa promedio de $180k</t>
  </si>
  <si>
    <t xml:space="preserve">Ahorro directo en flujo de caja de Torre Satori</t>
  </si>
  <si>
    <t xml:space="preserve">Período de recuperación (Payback) según demanda</t>
  </si>
  <si>
    <t xml:space="preserve">Meses para amortizar el CAPEX total ($24.68M)</t>
  </si>
  <si>
    <t xml:space="preserve">Incluso en escenario de baja demanda se recupera en &lt;21 meses</t>
  </si>
  <si>
    <t xml:space="preserve">Sensibilidad a la Tarifa Horaria de Ingeniería</t>
  </si>
  <si>
    <t xml:space="preserve">$30.000/h (junior) vs $35.000/h vs $40.000/h (senior)</t>
  </si>
  <si>
    <t>COP/hora</t>
  </si>
  <si>
    <t xml:space="preserve">Acordada y fijada mediante contrato de desarrollo cerrado</t>
  </si>
  <si>
    <t xml:space="preserve">Costo de Desarrollo e Ingeniería (B.1 - 600h)</t>
  </si>
  <si>
    <t xml:space="preserve">600 horas efectivas de programación de 3 ingenieros</t>
  </si>
  <si>
    <t xml:space="preserve">Controlado mediante sprints cerrados de 120 horas cada uno</t>
  </si>
  <si>
    <t xml:space="preserve">4. DICTAMEN Y RECOMENDACIÓN ESTRATÉGICA PRESUPUESTAL PARA TORRE SATORI</t>
  </si>
  <si>
    <t xml:space="preserve">Decisión Recomendada</t>
  </si>
  <si>
    <t xml:space="preserve">ADOPTAR EL ESCENARIO BASE (150 SP - $24.685.000 COP CAPEX / $289.842 COP/mes OPEX)</t>
  </si>
  <si>
    <t xml:space="preserve">Fundamentación Técnica</t>
  </si>
  <si>
    <t xml:space="preserve">El Escenario Base implementa con exactitud los 14 módulos neurálgicos requeridos por el hotel boutique en Sevilla, Valle del Cauca: doble candado contra sobreventa (RedisLockService + PostgreSQL EXCLUDE GIST), motor de reservas 24/7 en WhatsApp, integración de pasarela MercadoPago con abono del 50%/100%, panel administrativo web y módulos contables/inventario.</t>
  </si>
  <si>
    <t xml:space="preserve">Eficiencia en Infraestructura</t>
  </si>
  <si>
    <t xml:space="preserve">La arquitectura auto-alojada en VPS (Hetzner CX23 de 4GB RAM a $12 USD/mes) combinada con el CDN y almacenamiento gratuito de Cloudflare (Pages y R2) reduce los costos fijos a solo $54.642 COP/mes, evitando licencias comerciales propietarias como Cloudbeds o Mews que cobran más de $330 USD/mes ($1.369.500 COP/mes).</t>
  </si>
  <si>
    <t xml:space="preserve">Estrategia ante Restricción</t>
  </si>
  <si>
    <t xml:space="preserve">En caso de una restricción de liquidez estricta antes de iniciar el Sprint 4, el hotel puede migrar de forma inmediata al Escenario Optimizado difiriendo 7 Story Points de analítica avanzada ($1.400.000 COP de ahorro) sin afectar en lo absoluto las operaciones de reserva, check-in, cobro y facturación.</t>
  </si>
  <si>
    <t xml:space="preserve">Punto de Equilibrio (Break-even)</t>
  </si>
  <si>
    <t xml:space="preserve">Con procesar únicamente 3 reservas directas al mes por WhatsApp ($97.200 COP de comisiones de OTAs evitadas), el hotel cubre el 100% de sus costos operativos de servidores, Meta WhatsApp Cloud API y Gemini Flash Lite ($109.842 COP/mes). El proyecto es financieramente blindado y de muy bajo riesgo.</t>
  </si>
  <si>
    <t xml:space="preserve">TORRE SATORI PMS — MATRIZ DE SUPUESTOS, PARÁMETROS Y VALIDACIÓN DE COSTOS</t>
  </si>
  <si>
    <t xml:space="preserve">Registro de trazabilidad técnica, fuentes oficiales de cotización, estado de validación y gestión de riesgos económicos (Guion 3)</t>
  </si>
  <si>
    <t xml:space="preserve">1. MATRIZ DE PARÁMETROS TÉCNICOS, ECONÓMICOS Y SUPUESTOS OPERATIVOS</t>
  </si>
  <si>
    <t xml:space="preserve">ID Parámetro</t>
  </si>
  <si>
    <t>Categoría</t>
  </si>
  <si>
    <t xml:space="preserve">Nombre del Parámetro / Variable Presupuestal</t>
  </si>
  <si>
    <t xml:space="preserve">Valor en Presupuesto</t>
  </si>
  <si>
    <t xml:space="preserve">Tipo de Fuente</t>
  </si>
  <si>
    <t xml:space="preserve">Entidad / Origen Verificable</t>
  </si>
  <si>
    <t xml:space="preserve">Estado de Validación</t>
  </si>
  <si>
    <t xml:space="preserve">Nivel de Impacto</t>
  </si>
  <si>
    <t xml:space="preserve">Justificación Técnica y Acción de Mitigación</t>
  </si>
  <si>
    <t>PAR-01</t>
  </si>
  <si>
    <t xml:space="preserve">Laboral / Dev</t>
  </si>
  <si>
    <t xml:space="preserve">Tarifa horaria profesional del equipo</t>
  </si>
  <si>
    <t xml:space="preserve">Tarifa acordada</t>
  </si>
  <si>
    <t xml:space="preserve">Contrato equipo de ingeniería</t>
  </si>
  <si>
    <t>Alto</t>
  </si>
  <si>
    <t xml:space="preserve">Tarifa fija por entregables de Sprint (30 SP por sprint = $4.200.000 COP)</t>
  </si>
  <si>
    <t>PAR-02</t>
  </si>
  <si>
    <t xml:space="preserve">Metodología Ágil</t>
  </si>
  <si>
    <t xml:space="preserve">Esfuerzo estándar por Story Point</t>
  </si>
  <si>
    <t>Horas/SP</t>
  </si>
  <si>
    <t xml:space="preserve">Histórico Scrum</t>
  </si>
  <si>
    <t xml:space="preserve">Planning Poker del equipo</t>
  </si>
  <si>
    <t xml:space="preserve">DoD completa: 55% código, 20% pruebas, 10% review, 10% docs, 5% staging</t>
  </si>
  <si>
    <t>PAR-03</t>
  </si>
  <si>
    <t>Alcance</t>
  </si>
  <si>
    <t xml:space="preserve">Tamaño total del Backlog MVP</t>
  </si>
  <si>
    <t xml:space="preserve">Especificación técnica</t>
  </si>
  <si>
    <t xml:space="preserve">14 módulos Torre Satori</t>
  </si>
  <si>
    <t xml:space="preserve">Backlog cerrado priorizado; control formal de cambios ante solicitudes nuevas</t>
  </si>
  <si>
    <t>PAR-04</t>
  </si>
  <si>
    <t>Macroeconómico</t>
  </si>
  <si>
    <t xml:space="preserve">Oficial de mercado</t>
  </si>
  <si>
    <t xml:space="preserve">Banco de la República (Oct 2026)</t>
  </si>
  <si>
    <t>Bajo</t>
  </si>
  <si>
    <t xml:space="preserve">Aplica únicamente sobre ~18 USD/mes de nube y APIs; impacto mínimo en flujo</t>
  </si>
  <si>
    <t>PAR-05</t>
  </si>
  <si>
    <t xml:space="preserve">Servidor VPS Producción Hetzner CX23</t>
  </si>
  <si>
    <t>USD/mes</t>
  </si>
  <si>
    <t xml:space="preserve">Cotización oficial</t>
  </si>
  <si>
    <t xml:space="preserve">Hetzner Online GmbH (Alemania)</t>
  </si>
  <si>
    <t xml:space="preserve">4 GB RAM, 2 vCPU, NVMe; suficiente para Spring Boot, Redis, Postgres y n8n</t>
  </si>
  <si>
    <t>PAR-06</t>
  </si>
  <si>
    <t xml:space="preserve">Registro Dominio .com y DNS Cloudflare</t>
  </si>
  <si>
    <t>USD/año</t>
  </si>
  <si>
    <t xml:space="preserve">Tarifa pública at-cost</t>
  </si>
  <si>
    <t xml:space="preserve">Cloudflare Registrar</t>
  </si>
  <si>
    <t xml:space="preserve">Muy Bajo</t>
  </si>
  <si>
    <t xml:space="preserve">Dominio propio .com a precio de costo ICANN ($10.46) + renovación con tarjeta corporativa</t>
  </si>
  <si>
    <t>PAR-07</t>
  </si>
  <si>
    <t xml:space="preserve">Alojamiento Frontend SPA en Cloudflare Pages</t>
  </si>
  <si>
    <t xml:space="preserve">Plan Gratuito Oficial</t>
  </si>
  <si>
    <t xml:space="preserve">Cloudflare Pages</t>
  </si>
  <si>
    <t>Nulo</t>
  </si>
  <si>
    <t xml:space="preserve">Builds y ancho de banda ilimitados con CDN global Anycast; $0 costo recurrente</t>
  </si>
  <si>
    <t>PAR-08</t>
  </si>
  <si>
    <t>Almacenamiento</t>
  </si>
  <si>
    <t xml:space="preserve">Almacenamiento Comprobantes Cloudflare R2</t>
  </si>
  <si>
    <t xml:space="preserve">Cloudflare R2 Storage</t>
  </si>
  <si>
    <t xml:space="preserve">10 GB/mes incluidos con $0 costo de egreso; capacidad para &gt;30.000 comprobantes</t>
  </si>
  <si>
    <t>PAR-09</t>
  </si>
  <si>
    <t xml:space="preserve">Conectividad / APIs</t>
  </si>
  <si>
    <t xml:space="preserve">Meta WhatsApp Cloud API (Conversaciones)</t>
  </si>
  <si>
    <t xml:space="preserve">Tarifario Meta Colombia</t>
  </si>
  <si>
    <t xml:space="preserve">Meta for Developers</t>
  </si>
  <si>
    <t>Medio</t>
  </si>
  <si>
    <t xml:space="preserve">1.000 conversaciones de servicio/mes gratuitas; se presupuestan 300 plantillas</t>
  </si>
  <si>
    <t>PAR-10</t>
  </si>
  <si>
    <t xml:space="preserve">Inteligencia Artificial</t>
  </si>
  <si>
    <t xml:space="preserve">Google Gemini Flash Lite LLM (Tokens)</t>
  </si>
  <si>
    <t xml:space="preserve">Tarifario Oficial Google</t>
  </si>
  <si>
    <t xml:space="preserve">Google AI Studio Pricing</t>
  </si>
  <si>
    <t xml:space="preserve">$0.25/M input tokens, $1.50/M output tokens; prompts compactos con pre-filtrado n8n</t>
  </si>
  <si>
    <t>PAR-11</t>
  </si>
  <si>
    <t>Telecomunicaciones</t>
  </si>
  <si>
    <t xml:space="preserve">Línea Móvil SIM Card para Bot WhatsApp</t>
  </si>
  <si>
    <t xml:space="preserve">Plan Prepago / Postpago</t>
  </si>
  <si>
    <t xml:space="preserve">Claro / Tigo Colombia</t>
  </si>
  <si>
    <t>Pendiente</t>
  </si>
  <si>
    <t xml:space="preserve">Pendiente de adquisición de tarjeta SIM física para registro en WhatsApp Business</t>
  </si>
  <si>
    <t>PAR-12</t>
  </si>
  <si>
    <t xml:space="preserve">Pasarela de Pagos</t>
  </si>
  <si>
    <t xml:space="preserve">MercadoPago Sandbox y Producción</t>
  </si>
  <si>
    <t xml:space="preserve">Tarifario Oficial Pasarela</t>
  </si>
  <si>
    <t xml:space="preserve">MercadoPago Colombia</t>
  </si>
  <si>
    <t>Operativo</t>
  </si>
  <si>
    <t xml:space="preserve">Cero cargo fijo mensual; comisión de 3.29% + IVA deducida directamente del abono</t>
  </si>
  <si>
    <t>PAR-13</t>
  </si>
  <si>
    <t xml:space="preserve">Despliegue Presencial</t>
  </si>
  <si>
    <t xml:space="preserve">Puesta en Marcha en Sevilla, Valle</t>
  </si>
  <si>
    <t xml:space="preserve">Cotización de viáticos + dev</t>
  </si>
  <si>
    <t xml:space="preserve">Equipo de Desarrollo e Icesi</t>
  </si>
  <si>
    <t xml:space="preserve">38 horas de ingeniería ($1.330.000) + $200.000 viáticos Cali-Sevilla-Cali (3 días)</t>
  </si>
  <si>
    <t>PAR-14</t>
  </si>
  <si>
    <t xml:space="preserve">Gestión de Riesgos</t>
  </si>
  <si>
    <t xml:space="preserve">Reserva de Contingencia Probabilística VME</t>
  </si>
  <si>
    <t xml:space="preserve">Metodología VME Cuantitativa</t>
  </si>
  <si>
    <t xml:space="preserve">Matriz de Riesgos R-01..R-06</t>
  </si>
  <si>
    <t xml:space="preserve">9.56% de la inversión directa; desembolso condicionado a autorización del PO</t>
  </si>
  <si>
    <t>PAR-15</t>
  </si>
  <si>
    <t xml:space="preserve">Operación / Soporte</t>
  </si>
  <si>
    <t xml:space="preserve">Bolsa de Soporte y Mantenimiento Técnico</t>
  </si>
  <si>
    <t xml:space="preserve">SLA Preventivo Acordado</t>
  </si>
  <si>
    <t xml:space="preserve">Equipo de Ingeniería</t>
  </si>
  <si>
    <t xml:space="preserve">5 horas mensuales a $36.000 COP/h ($180.000 COP/mes) para parches y backups</t>
  </si>
  <si>
    <t>PAR-16</t>
  </si>
  <si>
    <t xml:space="preserve">Negocio Hotelero</t>
  </si>
  <si>
    <t xml:space="preserve">Volumen Promedio de Reservas de Torre Satori</t>
  </si>
  <si>
    <t xml:space="preserve">Histórico Operativo Hotel</t>
  </si>
  <si>
    <t xml:space="preserve">Administración Torre Satori</t>
  </si>
  <si>
    <t xml:space="preserve">9 habitaciones al 60% ocupación = 162 noches-hab/mes; estancia media 2.5 noches</t>
  </si>
  <si>
    <t>PAR-17</t>
  </si>
  <si>
    <t xml:space="preserve">Tarifa Promedio por Noche Habitación</t>
  </si>
  <si>
    <t xml:space="preserve">Tarifario Oficial 2026</t>
  </si>
  <si>
    <t xml:space="preserve">Tarifa promedio ponderada de habitaciones estándar y superiores en Sevilla</t>
  </si>
  <si>
    <t>PAR-18</t>
  </si>
  <si>
    <t xml:space="preserve">Comisión Promedio Evitada Agencias OTAs</t>
  </si>
  <si>
    <t xml:space="preserve">Comisión Booking / Airbnb</t>
  </si>
  <si>
    <t xml:space="preserve">Mercado Hotelero Colombia (18%)</t>
  </si>
  <si>
    <t xml:space="preserve">18% ahorrado sobre noche base de $180.000 COP al reservar vía WhatsApp directo</t>
  </si>
  <si>
    <t xml:space="preserve">2. CONSOLIDADO DE AUDITORÍA PRESUPUESTAL Y MONTO SUJETO A VALIDACIÓN</t>
  </si>
  <si>
    <t xml:space="preserve">Criterio Técnico y Documental</t>
  </si>
  <si>
    <t xml:space="preserve">Cantidad Parámetros</t>
  </si>
  <si>
    <t xml:space="preserve">Monto Presupuestal Asociado (COP)</t>
  </si>
  <si>
    <t xml:space="preserve">Acción y Responsable para Formalización</t>
  </si>
  <si>
    <t xml:space="preserve">Confirmado / Validado</t>
  </si>
  <si>
    <t xml:space="preserve">Respaldado por cotización oficial, tarifa contractual o histórico de hotel</t>
  </si>
  <si>
    <t xml:space="preserve">Formalizado; no requiere acciones adicionales de validación</t>
  </si>
  <si>
    <t xml:space="preserve">Estimado Técnicamente</t>
  </si>
  <si>
    <t xml:space="preserve">Basado en volumetría proyectada y tarifas de consumo (Meta, Gemini, Soporte)</t>
  </si>
  <si>
    <t xml:space="preserve">Monitorear consumo real en fase de pruebas con usuarios piloto</t>
  </si>
  <si>
    <t xml:space="preserve">Pendiente de Contratación</t>
  </si>
  <si>
    <t xml:space="preserve">Requiere compra de SIM prepago física para activación del bot WhatsApp</t>
  </si>
  <si>
    <t xml:space="preserve">Adquirir tarjeta SIM corporativa previo al inicio del Sprint 2</t>
  </si>
  <si>
    <t xml:space="preserve">Fondo probabilístico calculado por riesgos técnicos (VME R-01 a R-06)</t>
  </si>
  <si>
    <t xml:space="preserve">Desembolso sujeto a aprobación formal expresa del Product Owner</t>
  </si>
  <si>
    <t xml:space="preserve">TOTAL AUDITORÍA</t>
  </si>
  <si>
    <t xml:space="preserve">Consolidado total de parámetros y presupuesto de implementación y operación</t>
  </si>
  <si>
    <t xml:space="preserve">Presupuesto 100% auditado y trazable con el alcance técnico del MVP</t>
  </si>
  <si>
    <t xml:space="preserve">3. DECISIONES ESTRATÉGICAS DE DISEÑO PRESUPUESTAL Y MITIGACIÓN DE RIESGOS</t>
  </si>
  <si>
    <t xml:space="preserve">DEC-01: Auto-alojamiento en VPS vs SaaS Comercial</t>
  </si>
  <si>
    <t xml:space="preserve">Decisión de desplegar en un VPS Hetzner de 4GB ($12 USD/mes) en lugar de contratar un PMS comercial como Cloudbeds ($330 USD/mes). Genera un ahorro de $12.955.900 COP anuales y garantiza autonomía total sobre los datos de huéspedes y reservas.</t>
  </si>
  <si>
    <t xml:space="preserve">DEC-02: Doble Candado de Concurrencia (RedisLock + EXCLUDE GIST)</t>
  </si>
  <si>
    <t xml:space="preserve">Inversión en arquitectura de concurrencia en Sprint 1 para blindar las reservas. Evita indemnizaciones y pérdida de reputación por sobreventa en fechas de alta demanda en Sevilla (como las Fiestas del Café o Semana Santa).</t>
  </si>
  <si>
    <t xml:space="preserve">DEC-03: Chatbot n8n + Meta WhatsApp Cloud API vs Proveedores Intermediarios</t>
  </si>
  <si>
    <t xml:space="preserve">Conexión directa a la API de Meta utilizando los 1.000 mensajes mensuales gratuitos, en vez de plataformas intermediarias (como Trengo o ManyChat) que cobran tarifas mínimas de $90 USD/mes. Costo operativo mensual menor a $25.000 COP.</t>
  </si>
  <si>
    <t xml:space="preserve">DEC-04: Contratación por Hitos de Sprint Cerrados (30 SP / $4.200.000)</t>
  </si>
  <si>
    <t xml:space="preserve">Mecanismo de pago ligado a la aceptación formal de cada Sprint por parte del Product Owner contra la Definición de Hecho (DoD). Elimina el riesgo de sobrecostos por horas extras improductivas o desviación de alcance.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</si>
</sst>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0.0%"/>
    <numFmt numFmtId="166" formatCode="$#,##0.00"/>
  </numFmts>
  <fonts count="12">
    <font>
      <sz val="11.000000"/>
      <color theme="1"/>
      <name val="Calibri"/>
      <scheme val="minor"/>
    </font>
    <font>
      <b/>
      <sz val="15.000000"/>
      <color indexed="65"/>
      <name val="Calibri"/>
    </font>
    <font>
      <i/>
      <sz val="10.000000"/>
      <color rgb="FFD0D7DE"/>
      <name val="Calibri"/>
    </font>
    <font>
      <sz val="9.000000"/>
      <color rgb="FF57606A"/>
      <name val="Calibri"/>
    </font>
    <font>
      <b/>
      <sz val="11.000000"/>
      <color rgb="FF1B365D"/>
      <name val="Calibri"/>
    </font>
    <font>
      <b/>
      <sz val="10.000000"/>
      <color rgb="FF1B365D"/>
      <name val="Calibri"/>
    </font>
    <font>
      <sz val="10.000000"/>
      <color rgb="FF24292F"/>
      <name val="Calibri"/>
    </font>
    <font>
      <b/>
      <sz val="10.000000"/>
      <color indexed="65"/>
      <name val="Calibri"/>
    </font>
    <font>
      <b/>
      <sz val="10.000000"/>
      <color rgb="FF0D47A1"/>
      <name val="Calibri"/>
    </font>
    <font>
      <sz val="9.000000"/>
      <color rgb="FF1B5E20"/>
      <name val="Calibri"/>
    </font>
    <font>
      <b/>
      <sz val="9.000000"/>
      <color rgb="FFB71C1C"/>
      <name val="Calibri"/>
    </font>
    <font>
      <b/>
      <sz val="9.000000"/>
      <color rgb="FF1B365D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8EEF5"/>
      </patternFill>
    </fill>
    <fill>
      <patternFill patternType="solid">
        <fgColor rgb="FF2C4D75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indexed="65"/>
      </patternFill>
    </fill>
    <fill>
      <patternFill patternType="solid">
        <fgColor rgb="FFF8FAFC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7DE"/>
      </left>
      <right style="thin">
        <color rgb="FFD0D7DE"/>
      </right>
      <top style="medium">
        <color rgb="FF1B365D"/>
      </top>
      <bottom style="thin">
        <color rgb="FFD0D7DE"/>
      </bottom>
      <diagonal style="none"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 style="none"/>
    </border>
    <border>
      <left style="thin">
        <color rgb="FFD0D7DE"/>
      </left>
      <right style="thin">
        <color rgb="FFD0D7DE"/>
      </right>
      <top style="medium">
        <color rgb="FF1B365D"/>
      </top>
      <bottom style="medium">
        <color rgb="FF1B365D"/>
      </bottom>
      <diagonal style="none"/>
    </border>
    <border>
      <left style="thin">
        <color rgb="FFD0D7DE"/>
      </left>
      <right style="thin">
        <color rgb="FFD0D7DE"/>
      </right>
      <top style="thin">
        <color rgb="FFD0D7DE"/>
      </top>
      <bottom style="double">
        <color rgb="FF1B365D"/>
      </bottom>
      <diagonal style="none"/>
    </border>
  </borders>
  <cellStyleXfs count="1">
    <xf fontId="0" fillId="0" borderId="0" numFmtId="0" applyNumberFormat="1" applyFont="1" applyFill="1" applyBorder="1"/>
  </cellStyleXfs>
  <cellXfs count="106"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 vertical="center"/>
    </xf>
    <xf fontId="2" fillId="2" borderId="0" numFmtId="0" xfId="0" applyFont="1" applyFill="1" quotePrefix="0" pivotButton="0"/>
    <xf fontId="3" fillId="0" borderId="0" numFmtId="0" xfId="0" applyFont="1" applyAlignment="1" quotePrefix="0" pivotButton="0">
      <alignment horizontal="left" vertical="center"/>
    </xf>
    <xf fontId="4" fillId="3" borderId="1" numFmtId="0" xfId="0" applyFont="1" applyFill="1" applyBorder="1" applyAlignment="1" quotePrefix="0" pivotButton="0">
      <alignment horizontal="left" vertical="center"/>
    </xf>
    <xf fontId="5" fillId="0" borderId="2" numFmtId="0" xfId="0" applyFont="1" applyBorder="1" quotePrefix="0" pivotButton="0"/>
    <xf fontId="6" fillId="0" borderId="2" numFmtId="0" xfId="0" applyFont="1" applyBorder="1" applyAlignment="1" quotePrefix="0" pivotButton="0">
      <alignment horizontal="left" vertical="center" wrapText="1"/>
    </xf>
    <xf fontId="0" fillId="0" borderId="2" numFmtId="0" xfId="0" applyBorder="1" quotePrefix="0" pivotButton="0"/>
    <xf fontId="4" fillId="3" borderId="1" numFmtId="0" xfId="0" applyFont="1" applyFill="1" applyBorder="1" quotePrefix="0" pivotButton="0"/>
    <xf fontId="7" fillId="4" borderId="3" numFmtId="0" xfId="0" applyFont="1" applyFill="1" applyBorder="1" applyAlignment="1" quotePrefix="0" pivotButton="0">
      <alignment horizontal="center" vertical="center"/>
    </xf>
    <xf fontId="0" fillId="0" borderId="3" numFmtId="0" xfId="0" applyBorder="1" quotePrefix="0" pivotButton="0"/>
    <xf fontId="5" fillId="0" borderId="2" numFmtId="0" xfId="0" applyFont="1" applyBorder="1" applyAlignment="1" quotePrefix="0" pivotButton="0">
      <alignment horizontal="center" vertical="center"/>
    </xf>
    <xf fontId="6" fillId="0" borderId="2" numFmtId="0" xfId="0" applyFont="1" applyBorder="1" quotePrefix="0" pivotButton="0"/>
    <xf fontId="8" fillId="5" borderId="2" numFmtId="3" xfId="0" applyNumberFormat="1" applyFont="1" applyFill="1" applyBorder="1" applyAlignment="1" quotePrefix="0" pivotButton="0">
      <alignment horizontal="right" vertical="center"/>
    </xf>
    <xf fontId="3" fillId="0" borderId="2" numFmtId="0" xfId="0" applyFont="1" applyBorder="1" applyAlignment="1" quotePrefix="0" pivotButton="0">
      <alignment horizontal="center" vertical="center"/>
    </xf>
    <xf fontId="9" fillId="6" borderId="2" numFmtId="0" xfId="0" applyFont="1" applyFill="1" applyBorder="1" applyAlignment="1" quotePrefix="0" pivotButton="0">
      <alignment horizontal="center" vertical="center"/>
    </xf>
    <xf fontId="3" fillId="0" borderId="2" numFmtId="0" xfId="0" applyFont="1" applyBorder="1" applyAlignment="1" quotePrefix="0" pivotButton="0">
      <alignment horizontal="left" vertical="center"/>
    </xf>
    <xf fontId="5" fillId="0" borderId="2" numFmtId="3" xfId="0" applyNumberFormat="1" applyFont="1" applyBorder="1" applyAlignment="1" quotePrefix="0" pivotButton="0">
      <alignment horizontal="right" vertical="center"/>
    </xf>
    <xf fontId="6" fillId="0" borderId="2" numFmtId="0" xfId="0" applyFont="1" applyBorder="1" applyAlignment="1" quotePrefix="0" pivotButton="0">
      <alignment horizontal="center" vertical="center"/>
    </xf>
    <xf fontId="8" fillId="5" borderId="2" numFmtId="164" xfId="0" applyNumberFormat="1" applyFont="1" applyFill="1" applyBorder="1" applyAlignment="1" quotePrefix="0" pivotButton="0">
      <alignment horizontal="right" vertical="center"/>
    </xf>
    <xf fontId="8" fillId="5" borderId="2" numFmtId="165" xfId="0" applyNumberFormat="1" applyFont="1" applyFill="1" applyBorder="1" applyAlignment="1" quotePrefix="0" pivotButton="0">
      <alignment horizontal="right" vertical="center"/>
    </xf>
    <xf fontId="10" fillId="7" borderId="2" numFmtId="0" xfId="0" applyFont="1" applyFill="1" applyBorder="1" applyAlignment="1" quotePrefix="0" pivotButton="0">
      <alignment horizontal="center" vertical="center"/>
    </xf>
    <xf fontId="5" fillId="0" borderId="2" numFmtId="164" xfId="0" applyNumberFormat="1" applyFont="1" applyBorder="1" applyAlignment="1" quotePrefix="0" pivotButton="0">
      <alignment horizontal="right" vertical="center"/>
    </xf>
    <xf fontId="6" fillId="0" borderId="2" numFmtId="166" xfId="0" applyNumberFormat="1" applyFont="1" applyBorder="1" applyAlignment="1" quotePrefix="0" pivotButton="0">
      <alignment horizontal="right" vertical="center"/>
    </xf>
    <xf fontId="6" fillId="0" borderId="2" numFmtId="165" xfId="0" applyNumberFormat="1" applyFont="1" applyBorder="1" applyAlignment="1" quotePrefix="0" pivotButton="0">
      <alignment horizontal="center" vertical="center"/>
    </xf>
    <xf fontId="6" fillId="0" borderId="2" numFmtId="164" xfId="0" applyNumberFormat="1" applyFont="1" applyBorder="1" applyAlignment="1" quotePrefix="0" pivotButton="0">
      <alignment horizontal="right" vertical="center"/>
    </xf>
    <xf fontId="3" fillId="0" borderId="2" numFmtId="0" xfId="0" applyFont="1" applyBorder="1" quotePrefix="0" pivotButton="0"/>
    <xf fontId="5" fillId="3" borderId="4" numFmtId="0" xfId="0" applyFont="1" applyFill="1" applyBorder="1" quotePrefix="0" pivotButton="0"/>
    <xf fontId="0" fillId="3" borderId="4" numFmtId="0" xfId="0" applyFill="1" applyBorder="1" quotePrefix="0" pivotButton="0"/>
    <xf fontId="5" fillId="3" borderId="4" numFmtId="0" xfId="0" applyFont="1" applyFill="1" applyBorder="1" applyAlignment="1" quotePrefix="0" pivotButton="0">
      <alignment horizontal="center" vertical="center"/>
    </xf>
    <xf fontId="5" fillId="3" borderId="4" numFmtId="164" xfId="0" applyNumberFormat="1" applyFont="1" applyFill="1" applyBorder="1" applyAlignment="1" quotePrefix="0" pivotButton="0">
      <alignment horizontal="right" vertical="center"/>
    </xf>
    <xf fontId="5" fillId="3" borderId="4" numFmtId="165" xfId="0" applyNumberFormat="1" applyFont="1" applyFill="1" applyBorder="1" applyAlignment="1" quotePrefix="0" pivotButton="0">
      <alignment horizontal="center" vertical="center"/>
    </xf>
    <xf fontId="9" fillId="3" borderId="4" numFmtId="0" xfId="0" applyFont="1" applyFill="1" applyBorder="1" applyAlignment="1" quotePrefix="0" pivotButton="0">
      <alignment horizontal="left" vertical="center"/>
    </xf>
    <xf fontId="5" fillId="3" borderId="4" numFmtId="166" xfId="0" applyNumberFormat="1" applyFont="1" applyFill="1" applyBorder="1" applyAlignment="1" quotePrefix="0" pivotButton="0">
      <alignment horizontal="right" vertical="center"/>
    </xf>
    <xf fontId="11" fillId="3" borderId="4" numFmtId="0" xfId="0" applyFont="1" applyFill="1" applyBorder="1" quotePrefix="0" pivotButton="0"/>
    <xf fontId="5" fillId="0" borderId="2" numFmtId="4" xfId="0" applyNumberFormat="1" applyFont="1" applyBorder="1" applyAlignment="1" quotePrefix="0" pivotButton="0">
      <alignment horizontal="right" vertical="center"/>
    </xf>
    <xf fontId="5" fillId="3" borderId="2" numFmtId="0" xfId="0" applyFont="1" applyFill="1" applyBorder="1" applyAlignment="1" quotePrefix="0" pivotButton="0">
      <alignment horizontal="center" vertical="center"/>
    </xf>
    <xf fontId="5" fillId="3" borderId="2" numFmtId="0" xfId="0" applyFont="1" applyFill="1" applyBorder="1" quotePrefix="0" pivotButton="0"/>
    <xf fontId="0" fillId="3" borderId="2" numFmtId="0" xfId="0" applyFill="1" applyBorder="1" quotePrefix="0" pivotButton="0"/>
    <xf fontId="11" fillId="0" borderId="2" numFmtId="0" xfId="0" applyFont="1" applyBorder="1" applyAlignment="1" quotePrefix="0" pivotButton="0">
      <alignment horizontal="center" vertical="center"/>
    </xf>
    <xf fontId="5" fillId="3" borderId="2" numFmtId="0" xfId="0" applyFont="1" applyFill="1" applyBorder="1" applyAlignment="1" quotePrefix="0" pivotButton="0">
      <alignment wrapText="1"/>
    </xf>
    <xf fontId="6" fillId="0" borderId="2" numFmtId="4" xfId="0" applyNumberFormat="1" applyFont="1" applyBorder="1" applyAlignment="1" quotePrefix="0" pivotButton="0">
      <alignment horizontal="right" vertical="center"/>
    </xf>
    <xf fontId="3" fillId="0" borderId="2" numFmtId="164" xfId="0" applyNumberFormat="1" applyFont="1" applyBorder="1" applyAlignment="1" quotePrefix="0" pivotButton="0">
      <alignment horizontal="right" vertical="center"/>
    </xf>
    <xf fontId="5" fillId="3" borderId="4" numFmtId="3" xfId="0" applyNumberFormat="1" applyFont="1" applyFill="1" applyBorder="1" applyAlignment="1" quotePrefix="0" pivotButton="0">
      <alignment horizontal="right" vertical="center"/>
    </xf>
    <xf fontId="5" fillId="3" borderId="4" numFmtId="4" xfId="0" applyNumberFormat="1" applyFont="1" applyFill="1" applyBorder="1" applyAlignment="1" quotePrefix="0" pivotButton="0">
      <alignment horizontal="right" vertical="center"/>
    </xf>
    <xf fontId="0" fillId="0" borderId="2" numFmtId="0" xfId="0" applyBorder="1" applyAlignment="1" quotePrefix="0" pivotButton="0">
      <alignment horizontal="center" vertical="center"/>
    </xf>
    <xf fontId="0" fillId="6" borderId="2" numFmtId="0" xfId="0" applyFill="1" applyBorder="1" applyAlignment="1" quotePrefix="0" pivotButton="0">
      <alignment horizontal="center" vertical="center"/>
    </xf>
    <xf fontId="6" fillId="0" borderId="2" numFmtId="3" xfId="0" applyNumberFormat="1" applyFont="1" applyBorder="1" applyAlignment="1" quotePrefix="0" pivotButton="0">
      <alignment horizontal="right" vertical="center"/>
    </xf>
    <xf fontId="0" fillId="7" borderId="2" numFmtId="0" xfId="0" applyFill="1" applyBorder="1" applyAlignment="1" quotePrefix="0" pivotButton="0">
      <alignment horizontal="center" vertical="center"/>
    </xf>
    <xf fontId="7" fillId="2" borderId="4" numFmtId="0" xfId="0" applyFont="1" applyFill="1" applyBorder="1" applyAlignment="1" quotePrefix="0" pivotButton="0">
      <alignment horizontal="center" vertical="center"/>
    </xf>
    <xf fontId="7" fillId="2" borderId="4" numFmtId="0" xfId="0" applyFont="1" applyFill="1" applyBorder="1" quotePrefix="0" pivotButton="0"/>
    <xf fontId="7" fillId="2" borderId="4" numFmtId="164" xfId="0" applyNumberFormat="1" applyFont="1" applyFill="1" applyBorder="1" applyAlignment="1" quotePrefix="0" pivotButton="0">
      <alignment horizontal="right" vertical="center"/>
    </xf>
    <xf fontId="7" fillId="4" borderId="4" numFmtId="0" xfId="0" applyFont="1" applyFill="1" applyBorder="1" applyAlignment="1" quotePrefix="0" pivotButton="0">
      <alignment horizontal="center" vertical="center"/>
    </xf>
    <xf fontId="7" fillId="4" borderId="4" numFmtId="0" xfId="0" applyFont="1" applyFill="1" applyBorder="1" quotePrefix="0" pivotButton="0"/>
    <xf fontId="7" fillId="4" borderId="4" numFmtId="164" xfId="0" applyNumberFormat="1" applyFont="1" applyFill="1" applyBorder="1" applyAlignment="1" quotePrefix="0" pivotButton="0">
      <alignment horizontal="right" vertical="center"/>
    </xf>
    <xf fontId="5" fillId="3" borderId="2" numFmtId="164" xfId="0" applyNumberFormat="1" applyFont="1" applyFill="1" applyBorder="1" applyAlignment="1" quotePrefix="0" pivotButton="0">
      <alignment horizontal="right" vertical="center"/>
    </xf>
    <xf fontId="3" fillId="7" borderId="2" numFmtId="0" xfId="0" applyFont="1" applyFill="1" applyBorder="1" quotePrefix="0" pivotButton="0"/>
    <xf fontId="0" fillId="7" borderId="2" numFmtId="0" xfId="0" applyFill="1" applyBorder="1" quotePrefix="0" pivotButton="0"/>
    <xf fontId="10" fillId="7" borderId="2" numFmtId="164" xfId="0" applyNumberFormat="1" applyFont="1" applyFill="1" applyBorder="1" applyAlignment="1" quotePrefix="0" pivotButton="0">
      <alignment horizontal="right" vertical="center"/>
    </xf>
    <xf fontId="4" fillId="3" borderId="0" numFmtId="0" xfId="0" applyFont="1" applyFill="1" applyAlignment="1" quotePrefix="0" pivotButton="0">
      <alignment horizontal="left" vertical="center"/>
    </xf>
    <xf fontId="7" fillId="4" borderId="3" numFmtId="0" xfId="0" applyFont="1" applyFill="1" applyBorder="1" applyAlignment="1" quotePrefix="0" pivotButton="0">
      <alignment horizontal="left" vertical="center"/>
    </xf>
    <xf fontId="6" fillId="0" borderId="2" numFmtId="0" xfId="0" applyFont="1" applyBorder="1" applyAlignment="1" quotePrefix="0" pivotButton="0">
      <alignment horizontal="left" vertical="center"/>
    </xf>
    <xf fontId="5" fillId="0" borderId="2" numFmtId="0" xfId="0" applyFont="1" applyBorder="1" applyAlignment="1" quotePrefix="0" pivotButton="0">
      <alignment horizontal="right" vertical="center"/>
    </xf>
    <xf fontId="6" fillId="0" borderId="2" numFmtId="0" xfId="0" applyFont="1" applyBorder="1" applyAlignment="1" quotePrefix="0" pivotButton="0">
      <alignment horizontal="right" vertical="center"/>
    </xf>
    <xf fontId="3" fillId="0" borderId="2" numFmtId="4" xfId="0" applyNumberFormat="1" applyFont="1" applyBorder="1" applyAlignment="1" quotePrefix="0" pivotButton="0">
      <alignment horizontal="right" vertical="center"/>
    </xf>
    <xf fontId="5" fillId="3" borderId="4" numFmtId="0" xfId="0" applyFont="1" applyFill="1" applyBorder="1" applyAlignment="1" quotePrefix="0" pivotButton="0">
      <alignment horizontal="left" vertical="center"/>
    </xf>
    <xf fontId="5" fillId="3" borderId="4" numFmtId="0" xfId="0" applyFont="1" applyFill="1" applyBorder="1" applyAlignment="1" quotePrefix="0" pivotButton="0">
      <alignment horizontal="right" vertical="center"/>
    </xf>
    <xf fontId="2" fillId="2" borderId="0" numFmtId="0" xfId="0" applyFont="1" applyFill="1" applyAlignment="1" quotePrefix="0" pivotButton="0">
      <alignment horizontal="left" vertical="center"/>
    </xf>
    <xf fontId="7" fillId="4" borderId="3" numFmtId="0" xfId="0" applyFont="1" applyFill="1" applyBorder="1" applyAlignment="1" quotePrefix="0" pivotButton="0">
      <alignment horizontal="center" vertical="center" wrapText="1"/>
    </xf>
    <xf fontId="6" fillId="8" borderId="2" numFmtId="0" xfId="0" applyFont="1" applyFill="1" applyBorder="1" quotePrefix="0" pivotButton="0"/>
    <xf fontId="3" fillId="8" borderId="2" numFmtId="0" xfId="0" applyFont="1" applyFill="1" applyBorder="1" applyAlignment="1" quotePrefix="0" pivotButton="0">
      <alignment horizontal="center" vertical="center"/>
    </xf>
    <xf fontId="6" fillId="8" borderId="2" numFmtId="3" xfId="0" applyNumberFormat="1" applyFont="1" applyFill="1" applyBorder="1" applyAlignment="1" quotePrefix="0" pivotButton="0">
      <alignment horizontal="right" vertical="center"/>
    </xf>
    <xf fontId="5" fillId="8" borderId="2" numFmtId="3" xfId="0" applyNumberFormat="1" applyFont="1" applyFill="1" applyBorder="1" applyAlignment="1" quotePrefix="0" pivotButton="0">
      <alignment horizontal="right" vertical="center"/>
    </xf>
    <xf fontId="6" fillId="9" borderId="2" numFmtId="0" xfId="0" applyFont="1" applyFill="1" applyBorder="1" quotePrefix="0" pivotButton="0"/>
    <xf fontId="3" fillId="9" borderId="2" numFmtId="0" xfId="0" applyFont="1" applyFill="1" applyBorder="1" applyAlignment="1" quotePrefix="0" pivotButton="0">
      <alignment horizontal="center" vertical="center"/>
    </xf>
    <xf fontId="6" fillId="9" borderId="2" numFmtId="3" xfId="0" applyNumberFormat="1" applyFont="1" applyFill="1" applyBorder="1" applyAlignment="1" quotePrefix="0" pivotButton="0">
      <alignment horizontal="right" vertical="center"/>
    </xf>
    <xf fontId="5" fillId="9" borderId="2" numFmtId="3" xfId="0" applyNumberFormat="1" applyFont="1" applyFill="1" applyBorder="1" applyAlignment="1" quotePrefix="0" pivotButton="0">
      <alignment horizontal="right" vertical="center"/>
    </xf>
    <xf fontId="6" fillId="8" borderId="2" numFmtId="164" xfId="0" applyNumberFormat="1" applyFont="1" applyFill="1" applyBorder="1" applyAlignment="1" quotePrefix="0" pivotButton="0">
      <alignment horizontal="right" vertical="center"/>
    </xf>
    <xf fontId="5" fillId="8" borderId="2" numFmtId="164" xfId="0" applyNumberFormat="1" applyFont="1" applyFill="1" applyBorder="1" applyAlignment="1" quotePrefix="0" pivotButton="0">
      <alignment horizontal="right" vertical="center"/>
    </xf>
    <xf fontId="6" fillId="9" borderId="2" numFmtId="164" xfId="0" applyNumberFormat="1" applyFont="1" applyFill="1" applyBorder="1" applyAlignment="1" quotePrefix="0" pivotButton="0">
      <alignment horizontal="right" vertical="center"/>
    </xf>
    <xf fontId="5" fillId="9" borderId="2" numFmtId="164" xfId="0" applyNumberFormat="1" applyFont="1" applyFill="1" applyBorder="1" applyAlignment="1" quotePrefix="0" pivotButton="0">
      <alignment horizontal="right" vertical="center"/>
    </xf>
    <xf fontId="3" fillId="3" borderId="4" numFmtId="0" xfId="0" applyFont="1" applyFill="1" applyBorder="1" applyAlignment="1" quotePrefix="0" pivotButton="0">
      <alignment horizontal="center" vertical="center"/>
    </xf>
    <xf fontId="6" fillId="8" borderId="2" numFmtId="165" xfId="0" applyNumberFormat="1" applyFont="1" applyFill="1" applyBorder="1" applyAlignment="1" quotePrefix="0" pivotButton="0">
      <alignment horizontal="right" vertical="center"/>
    </xf>
    <xf fontId="5" fillId="8" borderId="2" numFmtId="165" xfId="0" applyNumberFormat="1" applyFont="1" applyFill="1" applyBorder="1" applyAlignment="1" quotePrefix="0" pivotButton="0">
      <alignment horizontal="right" vertical="center"/>
    </xf>
    <xf fontId="6" fillId="9" borderId="2" numFmtId="4" xfId="0" applyNumberFormat="1" applyFont="1" applyFill="1" applyBorder="1" applyAlignment="1" quotePrefix="0" pivotButton="0">
      <alignment horizontal="right" vertical="center"/>
    </xf>
    <xf fontId="5" fillId="9" borderId="2" numFmtId="4" xfId="0" applyNumberFormat="1" applyFont="1" applyFill="1" applyBorder="1" applyAlignment="1" quotePrefix="0" pivotButton="0">
      <alignment horizontal="right" vertical="center"/>
    </xf>
    <xf fontId="3" fillId="8" borderId="2" numFmtId="0" xfId="0" applyFont="1" applyFill="1" applyBorder="1" applyAlignment="1" quotePrefix="0" pivotButton="0">
      <alignment horizontal="left" vertical="center"/>
    </xf>
    <xf fontId="3" fillId="8" borderId="2" numFmtId="0" xfId="0" applyFont="1" applyFill="1" applyBorder="1" quotePrefix="0" pivotButton="0"/>
    <xf fontId="3" fillId="9" borderId="2" numFmtId="0" xfId="0" applyFont="1" applyFill="1" applyBorder="1" quotePrefix="0" pivotButton="0"/>
    <xf fontId="3" fillId="3" borderId="4" numFmtId="0" xfId="0" applyFont="1" applyFill="1" applyBorder="1" quotePrefix="0" pivotButton="0"/>
    <xf fontId="3" fillId="9" borderId="2" numFmtId="0" xfId="0" applyFont="1" applyFill="1" applyBorder="1" applyAlignment="1" quotePrefix="0" pivotButton="0">
      <alignment horizontal="left" vertical="center" wrapText="1"/>
    </xf>
    <xf fontId="3" fillId="8" borderId="2" numFmtId="0" xfId="0" applyFont="1" applyFill="1" applyBorder="1" applyAlignment="1" quotePrefix="0" pivotButton="0">
      <alignment horizontal="left" vertical="center" wrapText="1"/>
    </xf>
    <xf fontId="5" fillId="3" borderId="2" numFmtId="0" xfId="0" applyFont="1" applyFill="1" applyBorder="1" applyAlignment="1" quotePrefix="0" pivotButton="0">
      <alignment horizontal="left" vertical="center"/>
    </xf>
    <xf fontId="6" fillId="8" borderId="2" numFmtId="0" xfId="0" applyFont="1" applyFill="1" applyBorder="1" applyAlignment="1" quotePrefix="0" pivotButton="0">
      <alignment horizontal="left" vertical="center" wrapText="1"/>
    </xf>
    <xf fontId="5" fillId="8" borderId="2" numFmtId="0" xfId="0" applyFont="1" applyFill="1" applyBorder="1" applyAlignment="1" quotePrefix="0" pivotButton="0">
      <alignment horizontal="center" vertical="center"/>
    </xf>
    <xf fontId="5" fillId="5" borderId="2" numFmtId="164" xfId="0" applyNumberFormat="1" applyFont="1" applyFill="1" applyBorder="1" applyAlignment="1" quotePrefix="0" pivotButton="0">
      <alignment horizontal="right" vertical="center"/>
    </xf>
    <xf fontId="5" fillId="9" borderId="2" numFmtId="0" xfId="0" applyFont="1" applyFill="1" applyBorder="1" applyAlignment="1" quotePrefix="0" pivotButton="0">
      <alignment horizontal="center" vertical="center"/>
    </xf>
    <xf fontId="5" fillId="5" borderId="2" numFmtId="3" xfId="0" applyNumberFormat="1" applyFont="1" applyFill="1" applyBorder="1" applyAlignment="1" quotePrefix="0" pivotButton="0">
      <alignment horizontal="right" vertical="center"/>
    </xf>
    <xf fontId="5" fillId="8" borderId="2" numFmtId="166" xfId="0" applyNumberFormat="1" applyFont="1" applyFill="1" applyBorder="1" applyAlignment="1" quotePrefix="0" pivotButton="0">
      <alignment horizontal="right" vertical="center"/>
    </xf>
    <xf fontId="5" fillId="9" borderId="2" numFmtId="166" xfId="0" applyNumberFormat="1" applyFont="1" applyFill="1" applyBorder="1" applyAlignment="1" quotePrefix="0" pivotButton="0">
      <alignment horizontal="right" vertical="center"/>
    </xf>
    <xf fontId="6" fillId="8" borderId="2" numFmtId="0" xfId="0" applyFont="1" applyFill="1" applyBorder="1" applyAlignment="1" quotePrefix="0" pivotButton="0">
      <alignment horizontal="center" vertical="center"/>
    </xf>
    <xf fontId="6" fillId="9" borderId="2" numFmtId="0" xfId="0" applyFont="1" applyFill="1" applyBorder="1" applyAlignment="1" quotePrefix="0" pivotButton="0">
      <alignment horizontal="center" vertical="center"/>
    </xf>
    <xf fontId="6" fillId="9" borderId="2" numFmtId="165" xfId="0" applyNumberFormat="1" applyFont="1" applyFill="1" applyBorder="1" applyAlignment="1" quotePrefix="0" pivotButton="0">
      <alignment horizontal="right" vertical="center"/>
    </xf>
    <xf fontId="5" fillId="3" borderId="4" numFmtId="165" xfId="0" applyNumberFormat="1" applyFont="1" applyFill="1" applyBorder="1" applyAlignment="1" quotePrefix="0" pivotButton="0">
      <alignment horizontal="right" vertical="center"/>
    </xf>
    <xf fontId="3" fillId="3" borderId="4" numFmtId="0" xfId="0" applyFont="1" applyFill="1" applyBorder="1" applyAlignment="1" quotePrefix="0" pivotButton="0">
      <alignment horizontal="left" vertical="center" wrapText="1"/>
    </xf>
    <xf fontId="0" fillId="0" borderId="4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pane xSplit="1" ySplit="6" topLeftCell="B7" activePane="bottomRight" state="frozen"/>
      <selection activeCell="C78" activeCellId="0" sqref="C78:K78"/>
    </sheetView>
  </sheetViews>
  <sheetFormatPr baseColWidth="8" defaultRowHeight="14.25"/>
  <cols>
    <col customWidth="1" min="1" max="1" width="3"/>
    <col customWidth="1" min="2" max="2" width="25.28125"/>
    <col customWidth="1" min="3" max="3" width="28"/>
    <col customWidth="1" min="4" max="4" width="40.57421875"/>
    <col customWidth="1" min="5" max="5" width="18"/>
    <col customWidth="1" min="6" max="6" width="16"/>
    <col customWidth="1" min="7" max="7" width="14"/>
    <col customWidth="1" min="8" max="8" width="28"/>
    <col customWidth="1" min="9" max="11" width="20"/>
  </cols>
  <sheetData>
    <row r="2" ht="28" customHeight="1">
      <c r="B2" s="1" t="s">
        <v>0</v>
      </c>
    </row>
    <row r="3" ht="18" customHeight="1">
      <c r="B3" s="2" t="s">
        <v>1</v>
      </c>
    </row>
    <row r="4" ht="16" customHeight="1">
      <c r="B4" s="3" t="s">
        <v>2</v>
      </c>
    </row>
    <row r="6" ht="20" customHeight="1">
      <c r="B6" s="4" t="s">
        <v>3</v>
      </c>
    </row>
    <row r="7" ht="20" customHeight="1">
      <c r="B7" s="5" t="s">
        <v>4</v>
      </c>
      <c r="C7" s="6" t="s">
        <v>5</v>
      </c>
      <c r="D7" s="7"/>
      <c r="E7" s="7"/>
      <c r="F7" s="7"/>
      <c r="G7" s="7"/>
      <c r="H7" s="7"/>
      <c r="I7" s="7"/>
      <c r="J7" s="7"/>
      <c r="K7" s="7"/>
    </row>
    <row r="8" ht="20" customHeight="1">
      <c r="B8" s="5" t="s">
        <v>6</v>
      </c>
      <c r="C8" s="6" t="s">
        <v>7</v>
      </c>
      <c r="D8" s="7"/>
      <c r="E8" s="7"/>
      <c r="F8" s="7"/>
      <c r="G8" s="7"/>
      <c r="H8" s="7"/>
      <c r="I8" s="7"/>
      <c r="J8" s="7"/>
      <c r="K8" s="7"/>
    </row>
    <row r="9" ht="20" customHeight="1">
      <c r="B9" s="5" t="s">
        <v>8</v>
      </c>
      <c r="C9" s="6" t="s">
        <v>9</v>
      </c>
      <c r="D9" s="7"/>
      <c r="E9" s="7"/>
      <c r="F9" s="7"/>
      <c r="G9" s="7"/>
      <c r="H9" s="7"/>
      <c r="I9" s="7"/>
      <c r="J9" s="7"/>
      <c r="K9" s="7"/>
    </row>
    <row r="10" ht="20" customHeight="1">
      <c r="B10" s="5" t="s">
        <v>10</v>
      </c>
      <c r="C10" s="6" t="s">
        <v>11</v>
      </c>
      <c r="D10" s="7"/>
      <c r="E10" s="7"/>
      <c r="F10" s="7"/>
      <c r="G10" s="7"/>
      <c r="H10" s="7"/>
      <c r="I10" s="7"/>
      <c r="J10" s="7"/>
      <c r="K10" s="7"/>
    </row>
    <row r="11" ht="20" customHeight="1">
      <c r="B11" s="5" t="s">
        <v>12</v>
      </c>
      <c r="C11" s="6" t="s">
        <v>13</v>
      </c>
      <c r="D11" s="7"/>
      <c r="E11" s="7"/>
      <c r="F11" s="7"/>
      <c r="G11" s="7"/>
      <c r="H11" s="7"/>
      <c r="I11" s="7"/>
      <c r="J11" s="7"/>
      <c r="K11" s="7"/>
    </row>
    <row r="12" ht="20" customHeight="1">
      <c r="B12" s="5" t="s">
        <v>14</v>
      </c>
      <c r="C12" s="6" t="s">
        <v>15</v>
      </c>
      <c r="D12" s="7"/>
      <c r="E12" s="7"/>
      <c r="F12" s="7"/>
      <c r="G12" s="7"/>
      <c r="H12" s="7"/>
      <c r="I12" s="7"/>
      <c r="J12" s="7"/>
      <c r="K12" s="7"/>
    </row>
    <row r="13" ht="20" customHeight="1">
      <c r="B13" s="5" t="s">
        <v>16</v>
      </c>
      <c r="C13" s="6" t="s">
        <v>17</v>
      </c>
      <c r="D13" s="7"/>
      <c r="E13" s="7"/>
      <c r="F13" s="7"/>
      <c r="G13" s="7"/>
      <c r="H13" s="7"/>
      <c r="I13" s="7"/>
      <c r="J13" s="7"/>
      <c r="K13" s="7"/>
    </row>
    <row r="14" ht="20" customHeight="1">
      <c r="B14" s="5" t="s">
        <v>18</v>
      </c>
      <c r="C14" s="6" t="s">
        <v>19</v>
      </c>
      <c r="D14" s="7"/>
      <c r="E14" s="7"/>
      <c r="F14" s="7"/>
      <c r="G14" s="7"/>
      <c r="H14" s="7"/>
      <c r="I14" s="7"/>
      <c r="J14" s="7"/>
      <c r="K14" s="7"/>
    </row>
    <row r="16" ht="20" customHeight="1">
      <c r="B16" s="8" t="s">
        <v>20</v>
      </c>
    </row>
    <row r="17" ht="20" customHeight="1">
      <c r="B17" s="9" t="s">
        <v>21</v>
      </c>
      <c r="C17" s="9" t="s">
        <v>22</v>
      </c>
      <c r="D17" s="10"/>
      <c r="E17" s="9" t="s">
        <v>23</v>
      </c>
      <c r="F17" s="9" t="s">
        <v>24</v>
      </c>
      <c r="G17" s="9" t="s">
        <v>25</v>
      </c>
      <c r="H17" s="9" t="s">
        <v>26</v>
      </c>
      <c r="I17" s="10"/>
      <c r="J17" s="10"/>
      <c r="K17" s="10"/>
    </row>
    <row r="18" ht="19" customHeight="1">
      <c r="B18" s="11" t="s">
        <v>27</v>
      </c>
      <c r="C18" s="12" t="s">
        <v>28</v>
      </c>
      <c r="D18" s="7"/>
      <c r="E18" s="13">
        <v>3</v>
      </c>
      <c r="F18" s="14" t="s">
        <v>29</v>
      </c>
      <c r="G18" s="15" t="s">
        <v>30</v>
      </c>
      <c r="H18" s="16" t="s">
        <v>31</v>
      </c>
      <c r="I18" s="7"/>
      <c r="J18" s="7"/>
      <c r="K18" s="7"/>
    </row>
    <row r="19" ht="19" customHeight="1">
      <c r="B19" s="11" t="s">
        <v>27</v>
      </c>
      <c r="C19" s="12" t="s">
        <v>32</v>
      </c>
      <c r="D19" s="7"/>
      <c r="E19" s="13">
        <v>20</v>
      </c>
      <c r="F19" s="14" t="s">
        <v>33</v>
      </c>
      <c r="G19" s="15" t="s">
        <v>30</v>
      </c>
      <c r="H19" s="16" t="s">
        <v>34</v>
      </c>
      <c r="I19" s="7"/>
      <c r="J19" s="7"/>
      <c r="K19" s="7"/>
    </row>
    <row r="20" ht="19" customHeight="1">
      <c r="B20" s="11" t="s">
        <v>27</v>
      </c>
      <c r="C20" s="12" t="s">
        <v>35</v>
      </c>
      <c r="D20" s="7"/>
      <c r="E20" s="13">
        <v>10</v>
      </c>
      <c r="F20" s="14" t="s">
        <v>36</v>
      </c>
      <c r="G20" s="15" t="s">
        <v>30</v>
      </c>
      <c r="H20" s="16" t="s">
        <v>37</v>
      </c>
      <c r="I20" s="7"/>
      <c r="J20" s="7"/>
      <c r="K20" s="7"/>
    </row>
    <row r="21" ht="19" customHeight="1">
      <c r="B21" s="11" t="s">
        <v>27</v>
      </c>
      <c r="C21" s="12" t="s">
        <v>38</v>
      </c>
      <c r="D21" s="7"/>
      <c r="E21" s="17">
        <f>E18*E19*E20</f>
        <v>600</v>
      </c>
      <c r="F21" s="14" t="s">
        <v>39</v>
      </c>
      <c r="G21" s="18" t="s">
        <v>40</v>
      </c>
      <c r="H21" s="16" t="s">
        <v>41</v>
      </c>
      <c r="I21" s="7"/>
      <c r="J21" s="7"/>
      <c r="K21" s="7"/>
    </row>
    <row r="22" ht="19" customHeight="1">
      <c r="B22" s="11" t="s">
        <v>27</v>
      </c>
      <c r="C22" s="12" t="s">
        <v>42</v>
      </c>
      <c r="D22" s="7"/>
      <c r="E22" s="19">
        <v>35000</v>
      </c>
      <c r="F22" s="14" t="s">
        <v>43</v>
      </c>
      <c r="G22" s="15" t="s">
        <v>30</v>
      </c>
      <c r="H22" s="16" t="s">
        <v>44</v>
      </c>
      <c r="I22" s="7"/>
      <c r="J22" s="7"/>
      <c r="K22" s="7"/>
    </row>
    <row r="23" ht="19" customHeight="1">
      <c r="B23" s="11" t="s">
        <v>27</v>
      </c>
      <c r="C23" s="12" t="s">
        <v>45</v>
      </c>
      <c r="D23" s="7"/>
      <c r="E23" s="13">
        <v>4</v>
      </c>
      <c r="F23" s="14" t="s">
        <v>46</v>
      </c>
      <c r="G23" s="15" t="s">
        <v>30</v>
      </c>
      <c r="H23" s="16" t="s">
        <v>47</v>
      </c>
      <c r="I23" s="7"/>
      <c r="J23" s="7"/>
      <c r="K23" s="7"/>
    </row>
    <row r="24" ht="19" customHeight="1">
      <c r="B24" s="11" t="s">
        <v>27</v>
      </c>
      <c r="C24" s="12" t="s">
        <v>48</v>
      </c>
      <c r="D24" s="7"/>
      <c r="E24" s="13">
        <v>35</v>
      </c>
      <c r="F24" s="14" t="s">
        <v>49</v>
      </c>
      <c r="G24" s="15" t="s">
        <v>30</v>
      </c>
      <c r="H24" s="16" t="s">
        <v>50</v>
      </c>
      <c r="I24" s="7"/>
      <c r="J24" s="7"/>
      <c r="K24" s="7"/>
    </row>
    <row r="25" ht="19" customHeight="1">
      <c r="B25" s="11" t="s">
        <v>51</v>
      </c>
      <c r="C25" s="12" t="s">
        <v>52</v>
      </c>
      <c r="D25" s="7"/>
      <c r="E25" s="19">
        <v>4150</v>
      </c>
      <c r="F25" s="14" t="s">
        <v>53</v>
      </c>
      <c r="G25" s="15" t="s">
        <v>30</v>
      </c>
      <c r="H25" s="16" t="s">
        <v>54</v>
      </c>
      <c r="I25" s="7"/>
      <c r="J25" s="7"/>
      <c r="K25" s="7"/>
    </row>
    <row r="26" ht="19" customHeight="1">
      <c r="B26" s="11" t="s">
        <v>51</v>
      </c>
      <c r="C26" s="12" t="s">
        <v>55</v>
      </c>
      <c r="D26" s="7"/>
      <c r="E26" s="20">
        <v>0.05</v>
      </c>
      <c r="F26" s="14" t="s">
        <v>56</v>
      </c>
      <c r="G26" s="21" t="s">
        <v>57</v>
      </c>
      <c r="H26" s="16" t="s">
        <v>58</v>
      </c>
      <c r="I26" s="7"/>
      <c r="J26" s="7"/>
      <c r="K26" s="7"/>
    </row>
    <row r="27" ht="19" customHeight="1">
      <c r="B27" s="11" t="s">
        <v>59</v>
      </c>
      <c r="C27" s="12" t="s">
        <v>60</v>
      </c>
      <c r="D27" s="7"/>
      <c r="E27" s="20">
        <v>0.55</v>
      </c>
      <c r="F27" s="14" t="s">
        <v>61</v>
      </c>
      <c r="G27" s="21" t="s">
        <v>57</v>
      </c>
      <c r="H27" s="16" t="s">
        <v>62</v>
      </c>
      <c r="I27" s="7"/>
      <c r="J27" s="7"/>
      <c r="K27" s="7"/>
    </row>
    <row r="28" ht="19" customHeight="1">
      <c r="B28" s="11" t="s">
        <v>59</v>
      </c>
      <c r="C28" s="12" t="s">
        <v>63</v>
      </c>
      <c r="D28" s="7"/>
      <c r="E28" s="20">
        <v>0.2</v>
      </c>
      <c r="F28" s="14" t="s">
        <v>61</v>
      </c>
      <c r="G28" s="21" t="s">
        <v>57</v>
      </c>
      <c r="H28" s="16" t="s">
        <v>64</v>
      </c>
      <c r="I28" s="7"/>
      <c r="J28" s="7"/>
      <c r="K28" s="7"/>
    </row>
    <row r="29" ht="19" customHeight="1">
      <c r="B29" s="11" t="s">
        <v>59</v>
      </c>
      <c r="C29" s="12" t="s">
        <v>65</v>
      </c>
      <c r="D29" s="7"/>
      <c r="E29" s="20">
        <v>0.1</v>
      </c>
      <c r="F29" s="14" t="s">
        <v>61</v>
      </c>
      <c r="G29" s="21" t="s">
        <v>57</v>
      </c>
      <c r="H29" s="16" t="s">
        <v>66</v>
      </c>
      <c r="I29" s="7"/>
      <c r="J29" s="7"/>
      <c r="K29" s="7"/>
    </row>
    <row r="30" ht="19" customHeight="1">
      <c r="B30" s="11" t="s">
        <v>59</v>
      </c>
      <c r="C30" s="12" t="s">
        <v>67</v>
      </c>
      <c r="D30" s="7"/>
      <c r="E30" s="20">
        <v>0.1</v>
      </c>
      <c r="F30" s="14" t="s">
        <v>61</v>
      </c>
      <c r="G30" s="21" t="s">
        <v>57</v>
      </c>
      <c r="H30" s="16" t="s">
        <v>68</v>
      </c>
      <c r="I30" s="7"/>
      <c r="J30" s="7"/>
      <c r="K30" s="7"/>
    </row>
    <row r="31" ht="19" customHeight="1">
      <c r="B31" s="11" t="s">
        <v>59</v>
      </c>
      <c r="C31" s="12" t="s">
        <v>69</v>
      </c>
      <c r="D31" s="7"/>
      <c r="E31" s="20">
        <v>0.05</v>
      </c>
      <c r="F31" s="14" t="s">
        <v>61</v>
      </c>
      <c r="G31" s="21" t="s">
        <v>57</v>
      </c>
      <c r="H31" s="16" t="s">
        <v>70</v>
      </c>
      <c r="I31" s="7"/>
      <c r="J31" s="7"/>
      <c r="K31" s="7"/>
    </row>
    <row r="32" ht="19" customHeight="1">
      <c r="B32" s="11" t="s">
        <v>59</v>
      </c>
      <c r="C32" s="12" t="s">
        <v>71</v>
      </c>
      <c r="D32" s="7"/>
      <c r="E32" s="22">
        <f>E22*E23*(E27+E28+E29+E30+E31)</f>
        <v>140000</v>
      </c>
      <c r="F32" s="14" t="s">
        <v>72</v>
      </c>
      <c r="G32" s="18" t="s">
        <v>40</v>
      </c>
      <c r="H32" s="16" t="s">
        <v>73</v>
      </c>
      <c r="I32" s="7"/>
      <c r="J32" s="7"/>
      <c r="K32" s="7"/>
    </row>
    <row r="33" ht="19" customHeight="1">
      <c r="B33" s="11" t="s">
        <v>74</v>
      </c>
      <c r="C33" s="12" t="s">
        <v>75</v>
      </c>
      <c r="D33" s="7"/>
      <c r="E33" s="13">
        <v>40</v>
      </c>
      <c r="F33" s="14" t="s">
        <v>76</v>
      </c>
      <c r="G33" s="21" t="s">
        <v>57</v>
      </c>
      <c r="H33" s="16" t="s">
        <v>77</v>
      </c>
      <c r="I33" s="7"/>
      <c r="J33" s="7"/>
      <c r="K33" s="7"/>
    </row>
    <row r="34" ht="19" customHeight="1">
      <c r="B34" s="11" t="s">
        <v>74</v>
      </c>
      <c r="C34" s="12" t="s">
        <v>78</v>
      </c>
      <c r="D34" s="7"/>
      <c r="E34" s="19">
        <v>32400</v>
      </c>
      <c r="F34" s="14" t="s">
        <v>79</v>
      </c>
      <c r="G34" s="21" t="s">
        <v>57</v>
      </c>
      <c r="H34" s="16" t="s">
        <v>80</v>
      </c>
      <c r="I34" s="7"/>
      <c r="J34" s="7"/>
      <c r="K34" s="7"/>
    </row>
    <row r="35" ht="19" customHeight="1">
      <c r="B35" s="11" t="s">
        <v>74</v>
      </c>
      <c r="C35" s="12" t="s">
        <v>81</v>
      </c>
      <c r="D35" s="7"/>
      <c r="E35" s="19">
        <v>180000</v>
      </c>
      <c r="F35" s="14" t="s">
        <v>82</v>
      </c>
      <c r="G35" s="21" t="s">
        <v>57</v>
      </c>
      <c r="H35" s="16" t="s">
        <v>83</v>
      </c>
      <c r="I35" s="7"/>
      <c r="J35" s="7"/>
      <c r="K35" s="7"/>
    </row>
    <row r="37" ht="20" customHeight="1">
      <c r="B37" s="8" t="s">
        <v>84</v>
      </c>
    </row>
    <row r="38" ht="22" customHeight="1">
      <c r="B38" s="9" t="s">
        <v>85</v>
      </c>
      <c r="C38" s="9" t="s">
        <v>86</v>
      </c>
      <c r="D38" s="10"/>
      <c r="E38" s="9" t="s">
        <v>87</v>
      </c>
      <c r="F38" s="9" t="s">
        <v>88</v>
      </c>
      <c r="G38" s="9" t="s">
        <v>89</v>
      </c>
      <c r="H38" s="9" t="s">
        <v>90</v>
      </c>
      <c r="I38" s="10"/>
      <c r="J38" s="10"/>
      <c r="K38" s="10"/>
    </row>
    <row r="39" ht="20" customHeight="1">
      <c r="B39" s="11" t="s">
        <v>91</v>
      </c>
      <c r="C39" s="5" t="s">
        <v>92</v>
      </c>
      <c r="D39" s="7"/>
      <c r="E39" s="22">
        <f>Matriz_Costos!I36</f>
        <v>24685000</v>
      </c>
      <c r="F39" s="23">
        <f t="shared" ref="F39:F42" si="0">E39/$E$25</f>
        <v>5948.19277108434</v>
      </c>
      <c r="G39" s="24">
        <f>E39/E41</f>
        <v>0.876501521494438</v>
      </c>
      <c r="H39" s="16" t="s">
        <v>93</v>
      </c>
      <c r="I39" s="7"/>
      <c r="J39" s="7"/>
      <c r="K39" s="7"/>
    </row>
    <row r="40" ht="20" customHeight="1">
      <c r="B40" s="11" t="s">
        <v>94</v>
      </c>
      <c r="C40" s="12" t="s">
        <v>95</v>
      </c>
      <c r="D40" s="7"/>
      <c r="E40" s="25">
        <f>Matriz_Costos!I54</f>
        <v>289841.666666667</v>
      </c>
      <c r="F40" s="23">
        <f t="shared" si="0"/>
        <v>69.8413654618474</v>
      </c>
      <c r="G40" s="24">
        <f>(E40*12)/E41</f>
        <v>0.123498478505562</v>
      </c>
      <c r="H40" s="16" t="s">
        <v>96</v>
      </c>
      <c r="I40" s="7"/>
      <c r="J40" s="7"/>
      <c r="K40" s="7"/>
    </row>
    <row r="41" ht="20" customHeight="1">
      <c r="B41" s="11" t="s">
        <v>97</v>
      </c>
      <c r="C41" s="5" t="s">
        <v>98</v>
      </c>
      <c r="D41" s="7"/>
      <c r="E41" s="22">
        <f>E39+(E40*12)</f>
        <v>28163100</v>
      </c>
      <c r="F41" s="23">
        <f t="shared" si="0"/>
        <v>6786.28915662651</v>
      </c>
      <c r="G41" s="24">
        <v>1</v>
      </c>
      <c r="H41" s="16" t="s">
        <v>99</v>
      </c>
      <c r="I41" s="7"/>
      <c r="J41" s="7"/>
      <c r="K41" s="7"/>
    </row>
    <row r="42" ht="20" customHeight="1">
      <c r="B42" s="11" t="s">
        <v>100</v>
      </c>
      <c r="C42" s="12" t="s">
        <v>101</v>
      </c>
      <c r="D42" s="7"/>
      <c r="E42" s="25">
        <f>Matriz_Costos!I55</f>
        <v>3888400</v>
      </c>
      <c r="F42" s="23">
        <f t="shared" si="0"/>
        <v>936.963855421687</v>
      </c>
      <c r="G42" s="24">
        <f>E42/E41</f>
        <v>0.138067187205954</v>
      </c>
      <c r="H42" s="16" t="s">
        <v>102</v>
      </c>
      <c r="I42" s="7"/>
      <c r="J42" s="7"/>
      <c r="K42" s="7"/>
    </row>
    <row r="44" ht="20" customHeight="1">
      <c r="B44" s="8" t="s">
        <v>103</v>
      </c>
    </row>
    <row r="45" ht="22" customHeight="1">
      <c r="B45" s="9" t="s">
        <v>104</v>
      </c>
      <c r="C45" s="10"/>
      <c r="D45" s="9" t="s">
        <v>105</v>
      </c>
      <c r="E45" s="9" t="s">
        <v>106</v>
      </c>
      <c r="F45" s="9" t="s">
        <v>107</v>
      </c>
      <c r="G45" s="9" t="s">
        <v>108</v>
      </c>
      <c r="H45" s="9" t="s">
        <v>89</v>
      </c>
      <c r="I45" s="9" t="s">
        <v>109</v>
      </c>
      <c r="J45" s="10"/>
      <c r="K45" s="10"/>
    </row>
    <row r="46" ht="19" customHeight="1">
      <c r="B46" s="5" t="s">
        <v>110</v>
      </c>
      <c r="C46" s="7"/>
      <c r="D46" s="18" t="s">
        <v>111</v>
      </c>
      <c r="E46" s="25">
        <f>Matriz_Costos!I16</f>
        <v>21000000</v>
      </c>
      <c r="F46" s="25">
        <v>0</v>
      </c>
      <c r="G46" s="22">
        <f t="shared" ref="G46:G51" si="1">E46+F46</f>
        <v>21000000</v>
      </c>
      <c r="H46" s="24">
        <f t="shared" ref="H46:H51" si="2">G46/$E$41</f>
        <v>0.745656550592797</v>
      </c>
      <c r="I46" s="26" t="s">
        <v>112</v>
      </c>
      <c r="J46" s="7"/>
      <c r="K46" s="7"/>
    </row>
    <row r="47" ht="19" customHeight="1">
      <c r="B47" s="5" t="s">
        <v>113</v>
      </c>
      <c r="C47" s="7"/>
      <c r="D47" s="18" t="s">
        <v>111</v>
      </c>
      <c r="E47" s="25">
        <f>Matriz_Costos!I25</f>
        <v>1530000</v>
      </c>
      <c r="F47" s="25">
        <v>0</v>
      </c>
      <c r="G47" s="22">
        <f t="shared" si="1"/>
        <v>1530000</v>
      </c>
      <c r="H47" s="24">
        <f t="shared" si="2"/>
        <v>0.0543264058289038</v>
      </c>
      <c r="I47" s="26" t="s">
        <v>114</v>
      </c>
      <c r="J47" s="7"/>
      <c r="K47" s="7"/>
    </row>
    <row r="48" ht="19" customHeight="1">
      <c r="B48" s="5" t="s">
        <v>115</v>
      </c>
      <c r="C48" s="7"/>
      <c r="D48" s="18" t="s">
        <v>111</v>
      </c>
      <c r="E48" s="25">
        <f>Matriz_Costos!I35</f>
        <v>2155000</v>
      </c>
      <c r="F48" s="25">
        <v>0</v>
      </c>
      <c r="G48" s="22">
        <f t="shared" si="1"/>
        <v>2155000</v>
      </c>
      <c r="H48" s="24">
        <f t="shared" si="2"/>
        <v>0.076518565072737</v>
      </c>
      <c r="I48" s="26" t="s">
        <v>116</v>
      </c>
      <c r="J48" s="7"/>
      <c r="K48" s="7"/>
    </row>
    <row r="49" ht="19" customHeight="1">
      <c r="B49" s="5" t="s">
        <v>117</v>
      </c>
      <c r="C49" s="7"/>
      <c r="D49" s="18" t="s">
        <v>118</v>
      </c>
      <c r="E49" s="25">
        <v>0</v>
      </c>
      <c r="F49" s="25">
        <f>Matriz_Costos!I44</f>
        <v>655700</v>
      </c>
      <c r="G49" s="22">
        <f t="shared" si="1"/>
        <v>655700</v>
      </c>
      <c r="H49" s="24">
        <f t="shared" si="2"/>
        <v>0.0232822381058903</v>
      </c>
      <c r="I49" s="26" t="s">
        <v>119</v>
      </c>
      <c r="J49" s="7"/>
      <c r="K49" s="7"/>
    </row>
    <row r="50" ht="19" customHeight="1">
      <c r="B50" s="5" t="s">
        <v>120</v>
      </c>
      <c r="C50" s="7"/>
      <c r="D50" s="18" t="s">
        <v>118</v>
      </c>
      <c r="E50" s="25">
        <v>0</v>
      </c>
      <c r="F50" s="25">
        <f>Matriz_Costos!I49</f>
        <v>662400</v>
      </c>
      <c r="G50" s="22">
        <f t="shared" si="1"/>
        <v>662400</v>
      </c>
      <c r="H50" s="24">
        <f t="shared" si="2"/>
        <v>0.0235201380529842</v>
      </c>
      <c r="I50" s="26" t="s">
        <v>121</v>
      </c>
      <c r="J50" s="7"/>
      <c r="K50" s="7"/>
    </row>
    <row r="51" ht="19" customHeight="1">
      <c r="B51" s="5" t="s">
        <v>122</v>
      </c>
      <c r="C51" s="7"/>
      <c r="D51" s="18" t="s">
        <v>118</v>
      </c>
      <c r="E51" s="25">
        <v>0</v>
      </c>
      <c r="F51" s="25">
        <f>Matriz_Costos!I52</f>
        <v>2160000</v>
      </c>
      <c r="G51" s="22">
        <f t="shared" si="1"/>
        <v>2160000</v>
      </c>
      <c r="H51" s="24">
        <f t="shared" si="2"/>
        <v>0.0766961023466877</v>
      </c>
      <c r="I51" s="26" t="s">
        <v>123</v>
      </c>
      <c r="J51" s="7"/>
      <c r="K51" s="7"/>
    </row>
    <row r="52" ht="21" customHeight="1">
      <c r="B52" s="27" t="s">
        <v>124</v>
      </c>
      <c r="C52" s="28"/>
      <c r="D52" s="29" t="s">
        <v>125</v>
      </c>
      <c r="E52" s="30">
        <f>SUM(E46:E51)</f>
        <v>24685000</v>
      </c>
      <c r="F52" s="30">
        <f>SUM(F46:F51)</f>
        <v>3478100</v>
      </c>
      <c r="G52" s="30">
        <f>SUM(G46:G51)</f>
        <v>28163100</v>
      </c>
      <c r="H52" s="31">
        <f>SUM(H46:H51)</f>
        <v>1</v>
      </c>
      <c r="I52" s="32" t="str">
        <f>IF(ABS(G52-$E$41)&lt;1,"Balance cuadrado al 100% con TCO","Error en suma de componentes")</f>
        <v xml:space="preserve">Balance cuadrado al 100% con TCO</v>
      </c>
      <c r="J52" s="28"/>
      <c r="K52" s="28"/>
    </row>
    <row r="54" ht="20" customHeight="1">
      <c r="B54" s="8" t="s">
        <v>126</v>
      </c>
    </row>
    <row r="55" ht="22" customHeight="1">
      <c r="B55" s="9" t="s">
        <v>127</v>
      </c>
      <c r="C55" s="10"/>
      <c r="D55" s="9" t="s">
        <v>128</v>
      </c>
      <c r="E55" s="10"/>
      <c r="F55" s="10"/>
      <c r="G55" s="9" t="s">
        <v>87</v>
      </c>
      <c r="H55" s="9" t="s">
        <v>88</v>
      </c>
      <c r="I55" s="9" t="s">
        <v>89</v>
      </c>
      <c r="J55" s="9" t="s">
        <v>129</v>
      </c>
      <c r="K55" s="10"/>
    </row>
    <row r="56" ht="19" customHeight="1">
      <c r="B56" s="11" t="s">
        <v>111</v>
      </c>
      <c r="C56" s="7"/>
      <c r="D56" s="12" t="s">
        <v>130</v>
      </c>
      <c r="E56" s="7"/>
      <c r="F56" s="7"/>
      <c r="G56" s="25">
        <f>Matriz_Costos!I16</f>
        <v>21000000</v>
      </c>
      <c r="H56" s="23">
        <f t="shared" ref="H56:H64" si="3">G56/$E$25</f>
        <v>5060.24096385542</v>
      </c>
      <c r="I56" s="24">
        <f t="shared" ref="I56:I64" si="4">G56/$E$41</f>
        <v>0.745656550592797</v>
      </c>
      <c r="J56" s="26" t="s">
        <v>131</v>
      </c>
      <c r="K56" s="7"/>
    </row>
    <row r="57" ht="19" customHeight="1">
      <c r="B57" s="11" t="s">
        <v>111</v>
      </c>
      <c r="C57" s="7"/>
      <c r="D57" s="12" t="s">
        <v>132</v>
      </c>
      <c r="E57" s="7"/>
      <c r="F57" s="7"/>
      <c r="G57" s="25">
        <f>Matriz_Costos!I25</f>
        <v>1530000</v>
      </c>
      <c r="H57" s="23">
        <f t="shared" si="3"/>
        <v>368.674698795181</v>
      </c>
      <c r="I57" s="24">
        <f t="shared" si="4"/>
        <v>0.0543264058289038</v>
      </c>
      <c r="J57" s="26" t="s">
        <v>133</v>
      </c>
      <c r="K57" s="7"/>
    </row>
    <row r="58" ht="19" customHeight="1">
      <c r="B58" s="11" t="s">
        <v>111</v>
      </c>
      <c r="C58" s="7"/>
      <c r="D58" s="12" t="s">
        <v>134</v>
      </c>
      <c r="E58" s="7"/>
      <c r="F58" s="7"/>
      <c r="G58" s="25">
        <f>Matriz_Costos!I35</f>
        <v>2155000</v>
      </c>
      <c r="H58" s="23">
        <f t="shared" si="3"/>
        <v>519.277108433735</v>
      </c>
      <c r="I58" s="24">
        <f t="shared" si="4"/>
        <v>0.076518565072737</v>
      </c>
      <c r="J58" s="26" t="s">
        <v>135</v>
      </c>
      <c r="K58" s="7"/>
    </row>
    <row r="59" ht="20" customHeight="1">
      <c r="B59" s="29" t="s">
        <v>136</v>
      </c>
      <c r="C59" s="28"/>
      <c r="D59" s="27" t="s">
        <v>137</v>
      </c>
      <c r="E59" s="28"/>
      <c r="F59" s="28"/>
      <c r="G59" s="30">
        <f>SUM(G56:G58)</f>
        <v>24685000</v>
      </c>
      <c r="H59" s="33">
        <f t="shared" si="3"/>
        <v>5948.19277108434</v>
      </c>
      <c r="I59" s="31">
        <f t="shared" si="4"/>
        <v>0.876501521494438</v>
      </c>
      <c r="J59" s="34" t="s">
        <v>138</v>
      </c>
      <c r="K59" s="28"/>
    </row>
    <row r="60" ht="19" customHeight="1">
      <c r="B60" s="11" t="s">
        <v>118</v>
      </c>
      <c r="C60" s="7"/>
      <c r="D60" s="12" t="s">
        <v>139</v>
      </c>
      <c r="E60" s="7"/>
      <c r="F60" s="7"/>
      <c r="G60" s="25">
        <f>Matriz_Costos!I44</f>
        <v>655700</v>
      </c>
      <c r="H60" s="23">
        <f t="shared" si="3"/>
        <v>158</v>
      </c>
      <c r="I60" s="24">
        <f t="shared" si="4"/>
        <v>0.0232822381058903</v>
      </c>
      <c r="J60" s="26" t="s">
        <v>140</v>
      </c>
      <c r="K60" s="7"/>
    </row>
    <row r="61" ht="19" customHeight="1">
      <c r="B61" s="11" t="s">
        <v>118</v>
      </c>
      <c r="C61" s="7"/>
      <c r="D61" s="12" t="s">
        <v>141</v>
      </c>
      <c r="E61" s="7"/>
      <c r="F61" s="7"/>
      <c r="G61" s="25">
        <f>Matriz_Costos!I49</f>
        <v>662400</v>
      </c>
      <c r="H61" s="23">
        <f t="shared" si="3"/>
        <v>159.614457831325</v>
      </c>
      <c r="I61" s="24">
        <f t="shared" si="4"/>
        <v>0.0235201380529842</v>
      </c>
      <c r="J61" s="26" t="s">
        <v>142</v>
      </c>
      <c r="K61" s="7"/>
    </row>
    <row r="62" ht="19" customHeight="1">
      <c r="B62" s="11" t="s">
        <v>118</v>
      </c>
      <c r="C62" s="7"/>
      <c r="D62" s="12" t="s">
        <v>143</v>
      </c>
      <c r="E62" s="7"/>
      <c r="F62" s="7"/>
      <c r="G62" s="25">
        <f>Matriz_Costos!I52</f>
        <v>2160000</v>
      </c>
      <c r="H62" s="23">
        <f t="shared" si="3"/>
        <v>520.481927710843</v>
      </c>
      <c r="I62" s="24">
        <f t="shared" si="4"/>
        <v>0.0766961023466877</v>
      </c>
      <c r="J62" s="26" t="s">
        <v>144</v>
      </c>
      <c r="K62" s="7"/>
    </row>
    <row r="63" ht="20" customHeight="1">
      <c r="B63" s="29" t="s">
        <v>145</v>
      </c>
      <c r="C63" s="28"/>
      <c r="D63" s="27" t="s">
        <v>146</v>
      </c>
      <c r="E63" s="28"/>
      <c r="F63" s="28"/>
      <c r="G63" s="30">
        <f>SUM(G60:G62)</f>
        <v>3478100</v>
      </c>
      <c r="H63" s="33">
        <f t="shared" si="3"/>
        <v>838.096385542169</v>
      </c>
      <c r="I63" s="31">
        <f t="shared" si="4"/>
        <v>0.123498478505562</v>
      </c>
      <c r="J63" s="34" t="s">
        <v>147</v>
      </c>
      <c r="K63" s="28"/>
    </row>
    <row r="64" ht="21" customHeight="1">
      <c r="B64" s="29" t="s">
        <v>148</v>
      </c>
      <c r="C64" s="28"/>
      <c r="D64" s="27" t="s">
        <v>149</v>
      </c>
      <c r="E64" s="28"/>
      <c r="F64" s="28"/>
      <c r="G64" s="30">
        <f>G59+G63</f>
        <v>28163100</v>
      </c>
      <c r="H64" s="33">
        <f t="shared" si="3"/>
        <v>6786.28915662651</v>
      </c>
      <c r="I64" s="31">
        <f t="shared" si="4"/>
        <v>1</v>
      </c>
      <c r="J64" s="34" t="s">
        <v>150</v>
      </c>
      <c r="K64" s="28"/>
    </row>
    <row r="66" ht="20" customHeight="1">
      <c r="B66" s="8" t="s">
        <v>151</v>
      </c>
    </row>
    <row r="67" ht="22" customHeight="1">
      <c r="B67" s="9" t="s">
        <v>152</v>
      </c>
      <c r="C67" s="10"/>
      <c r="D67" s="10"/>
      <c r="E67" s="9" t="s">
        <v>153</v>
      </c>
      <c r="F67" s="9" t="s">
        <v>24</v>
      </c>
      <c r="G67" s="9" t="s">
        <v>154</v>
      </c>
      <c r="H67" s="10"/>
      <c r="I67" s="10"/>
      <c r="J67" s="9" t="s">
        <v>155</v>
      </c>
      <c r="K67" s="10"/>
    </row>
    <row r="68" ht="19" customHeight="1">
      <c r="B68" s="5" t="s">
        <v>156</v>
      </c>
      <c r="C68" s="7"/>
      <c r="D68" s="7"/>
      <c r="E68" s="22">
        <f>(Matriz_Costos!I44+Matriz_Costos!I49)/($E$33*12)</f>
        <v>2746.04166666667</v>
      </c>
      <c r="F68" s="14" t="s">
        <v>79</v>
      </c>
      <c r="G68" s="26" t="s">
        <v>157</v>
      </c>
      <c r="H68" s="7"/>
      <c r="I68" s="7"/>
      <c r="J68" s="26" t="s">
        <v>158</v>
      </c>
      <c r="K68" s="7"/>
    </row>
    <row r="69" ht="19" customHeight="1">
      <c r="B69" s="5" t="s">
        <v>159</v>
      </c>
      <c r="C69" s="7"/>
      <c r="D69" s="7"/>
      <c r="E69" s="22">
        <f>(200*$E$25+130*$E$25)*12-Matriz_Costos!I53</f>
        <v>12955900</v>
      </c>
      <c r="F69" s="14" t="s">
        <v>160</v>
      </c>
      <c r="G69" s="26" t="s">
        <v>161</v>
      </c>
      <c r="H69" s="7"/>
      <c r="I69" s="7"/>
      <c r="J69" s="26" t="s">
        <v>162</v>
      </c>
      <c r="K69" s="7"/>
    </row>
    <row r="70" ht="19" customHeight="1">
      <c r="B70" s="5" t="s">
        <v>163</v>
      </c>
      <c r="C70" s="7"/>
      <c r="D70" s="7"/>
      <c r="E70" s="22">
        <f>4*$E$35*12</f>
        <v>8640000</v>
      </c>
      <c r="F70" s="14" t="s">
        <v>160</v>
      </c>
      <c r="G70" s="26" t="s">
        <v>164</v>
      </c>
      <c r="H70" s="7"/>
      <c r="I70" s="7"/>
      <c r="J70" s="26" t="s">
        <v>165</v>
      </c>
      <c r="K70" s="7"/>
    </row>
    <row r="71" ht="19" customHeight="1">
      <c r="B71" s="5" t="s">
        <v>166</v>
      </c>
      <c r="C71" s="7"/>
      <c r="D71" s="7"/>
      <c r="E71" s="22">
        <f>E69+E70</f>
        <v>21595900</v>
      </c>
      <c r="F71" s="14" t="s">
        <v>160</v>
      </c>
      <c r="G71" s="26" t="s">
        <v>167</v>
      </c>
      <c r="H71" s="7"/>
      <c r="I71" s="7"/>
      <c r="J71" s="26" t="s">
        <v>168</v>
      </c>
      <c r="K71" s="7"/>
    </row>
    <row r="72" ht="19" customHeight="1">
      <c r="B72" s="5" t="s">
        <v>169</v>
      </c>
      <c r="C72" s="7"/>
      <c r="D72" s="7"/>
      <c r="E72" s="35">
        <f>G59/((E69+E70)/12)</f>
        <v>13.7164924823693</v>
      </c>
      <c r="F72" s="14" t="s">
        <v>170</v>
      </c>
      <c r="G72" s="26" t="s">
        <v>171</v>
      </c>
      <c r="H72" s="7"/>
      <c r="I72" s="7"/>
      <c r="J72" s="26" t="s">
        <v>172</v>
      </c>
      <c r="K72" s="7"/>
    </row>
    <row r="74" ht="20" customHeight="1">
      <c r="B74" s="8" t="s">
        <v>173</v>
      </c>
    </row>
    <row r="75" ht="19" customHeight="1">
      <c r="B75" s="36" t="s">
        <v>174</v>
      </c>
      <c r="C75" s="37" t="s">
        <v>175</v>
      </c>
      <c r="D75" s="38"/>
      <c r="E75" s="38"/>
      <c r="F75" s="38"/>
      <c r="G75" s="38"/>
      <c r="H75" s="38"/>
      <c r="I75" s="38"/>
      <c r="J75" s="38"/>
      <c r="K75" s="38"/>
    </row>
    <row r="76" ht="42" customHeight="1">
      <c r="B76" s="39" t="s">
        <v>176</v>
      </c>
      <c r="C76" s="6" t="s">
        <v>177</v>
      </c>
      <c r="D76" s="7"/>
      <c r="E76" s="7"/>
      <c r="F76" s="7"/>
      <c r="G76" s="7"/>
      <c r="H76" s="7"/>
      <c r="I76" s="7"/>
      <c r="J76" s="7"/>
      <c r="K76" s="7"/>
    </row>
    <row r="77" ht="19" customHeight="1">
      <c r="B77" s="36" t="s">
        <v>178</v>
      </c>
      <c r="C77" s="37" t="s">
        <v>179</v>
      </c>
      <c r="D77" s="38"/>
      <c r="E77" s="38"/>
      <c r="F77" s="38"/>
      <c r="G77" s="38"/>
      <c r="H77" s="38"/>
      <c r="I77" s="38"/>
      <c r="J77" s="38"/>
      <c r="K77" s="38"/>
    </row>
    <row r="78" ht="42" customHeight="1">
      <c r="B78" s="39" t="s">
        <v>176</v>
      </c>
      <c r="C78" s="6" t="s">
        <v>180</v>
      </c>
      <c r="D78" s="7"/>
      <c r="E78" s="7"/>
      <c r="F78" s="7"/>
      <c r="G78" s="7"/>
      <c r="H78" s="7"/>
      <c r="I78" s="7"/>
      <c r="J78" s="7"/>
      <c r="K78" s="7"/>
    </row>
    <row r="79" ht="19" customHeight="1">
      <c r="B79" s="36" t="s">
        <v>181</v>
      </c>
      <c r="C79" s="40" t="s">
        <v>182</v>
      </c>
      <c r="D79" s="38"/>
      <c r="E79" s="38"/>
      <c r="F79" s="38"/>
      <c r="G79" s="38"/>
      <c r="H79" s="38"/>
      <c r="I79" s="38"/>
      <c r="J79" s="38"/>
      <c r="K79" s="38"/>
    </row>
    <row r="80" ht="42" customHeight="1">
      <c r="B80" s="39" t="s">
        <v>176</v>
      </c>
      <c r="C80" s="6" t="s">
        <v>183</v>
      </c>
      <c r="D80" s="7"/>
      <c r="E80" s="7"/>
      <c r="F80" s="7"/>
      <c r="G80" s="7"/>
      <c r="H80" s="7"/>
      <c r="I80" s="7"/>
      <c r="J80" s="7"/>
      <c r="K80" s="7"/>
    </row>
    <row r="82" ht="20" customHeight="1">
      <c r="B82" s="8" t="s">
        <v>184</v>
      </c>
    </row>
    <row r="83" ht="22" customHeight="1">
      <c r="B83" s="9" t="s">
        <v>185</v>
      </c>
      <c r="C83" s="9" t="s">
        <v>186</v>
      </c>
      <c r="D83" s="10"/>
      <c r="E83" s="9" t="s">
        <v>187</v>
      </c>
      <c r="F83" s="9" t="s">
        <v>188</v>
      </c>
      <c r="G83" s="9" t="s">
        <v>189</v>
      </c>
      <c r="H83" s="9" t="s">
        <v>190</v>
      </c>
      <c r="I83" s="9" t="s">
        <v>191</v>
      </c>
      <c r="J83" s="9" t="s">
        <v>192</v>
      </c>
      <c r="K83" s="9" t="s">
        <v>193</v>
      </c>
    </row>
    <row r="84" ht="19" customHeight="1">
      <c r="B84" s="11" t="s">
        <v>194</v>
      </c>
      <c r="C84" s="12" t="s">
        <v>195</v>
      </c>
      <c r="D84" s="7"/>
      <c r="E84" s="14" t="s">
        <v>196</v>
      </c>
      <c r="F84" s="17">
        <f>SUMIFS(Historias_Backlog!$J$16:$J$47,Historias_Backlog!$H$16:$H$47,B84)</f>
        <v>30</v>
      </c>
      <c r="G84" s="41">
        <f t="shared" ref="G84:G88" si="5">F84*$E$23</f>
        <v>120</v>
      </c>
      <c r="H84" s="22">
        <f t="shared" ref="H84:H88" si="6">G84*$E$22</f>
        <v>4200000</v>
      </c>
      <c r="I84" s="42">
        <f t="shared" ref="I84:I89" si="7">IF(F84&gt;0,H84/F84,0)</f>
        <v>140000</v>
      </c>
      <c r="J84" s="35">
        <f>SUMIFS(Historias_Backlog!$T$16:$T$47,Historias_Backlog!$H$16:$H$47,B84)</f>
        <v>0</v>
      </c>
      <c r="K84" s="22">
        <f>SUMIFS(Historias_Backlog!$U$16:$U$47,Historias_Backlog!$H$16:$H$47,B84)</f>
        <v>0</v>
      </c>
    </row>
    <row r="85" ht="19" customHeight="1">
      <c r="B85" s="11" t="s">
        <v>197</v>
      </c>
      <c r="C85" s="12" t="s">
        <v>198</v>
      </c>
      <c r="D85" s="7"/>
      <c r="E85" s="14" t="s">
        <v>199</v>
      </c>
      <c r="F85" s="17">
        <f>SUMIFS(Historias_Backlog!$J$16:$J$47,Historias_Backlog!$H$16:$H$47,B85)</f>
        <v>30</v>
      </c>
      <c r="G85" s="41">
        <f t="shared" si="5"/>
        <v>120</v>
      </c>
      <c r="H85" s="22">
        <f t="shared" si="6"/>
        <v>4200000</v>
      </c>
      <c r="I85" s="42">
        <f t="shared" si="7"/>
        <v>140000</v>
      </c>
      <c r="J85" s="35">
        <f>SUMIFS(Historias_Backlog!$T$16:$T$47,Historias_Backlog!$H$16:$H$47,B85)</f>
        <v>0</v>
      </c>
      <c r="K85" s="22">
        <f>SUMIFS(Historias_Backlog!$U$16:$U$47,Historias_Backlog!$H$16:$H$47,B85)</f>
        <v>0</v>
      </c>
    </row>
    <row r="86" ht="19" customHeight="1">
      <c r="B86" s="11" t="s">
        <v>200</v>
      </c>
      <c r="C86" s="12" t="s">
        <v>201</v>
      </c>
      <c r="D86" s="7"/>
      <c r="E86" s="14" t="s">
        <v>202</v>
      </c>
      <c r="F86" s="17">
        <f>SUMIFS(Historias_Backlog!$J$16:$J$47,Historias_Backlog!$H$16:$H$47,B86)</f>
        <v>32</v>
      </c>
      <c r="G86" s="41">
        <f t="shared" si="5"/>
        <v>128</v>
      </c>
      <c r="H86" s="22">
        <f t="shared" si="6"/>
        <v>4480000</v>
      </c>
      <c r="I86" s="42">
        <f t="shared" si="7"/>
        <v>140000</v>
      </c>
      <c r="J86" s="35">
        <f>SUMIFS(Historias_Backlog!$T$16:$T$47,Historias_Backlog!$H$16:$H$47,B86)</f>
        <v>0</v>
      </c>
      <c r="K86" s="22">
        <f>SUMIFS(Historias_Backlog!$U$16:$U$47,Historias_Backlog!$H$16:$H$47,B86)</f>
        <v>0</v>
      </c>
    </row>
    <row r="87" ht="19" customHeight="1">
      <c r="B87" s="11" t="s">
        <v>203</v>
      </c>
      <c r="C87" s="12" t="s">
        <v>204</v>
      </c>
      <c r="D87" s="7"/>
      <c r="E87" s="14" t="s">
        <v>205</v>
      </c>
      <c r="F87" s="17">
        <f>SUMIFS(Historias_Backlog!$J$16:$J$47,Historias_Backlog!$H$16:$H$47,B87)</f>
        <v>30</v>
      </c>
      <c r="G87" s="41">
        <f t="shared" si="5"/>
        <v>120</v>
      </c>
      <c r="H87" s="22">
        <f t="shared" si="6"/>
        <v>4200000</v>
      </c>
      <c r="I87" s="42">
        <f t="shared" si="7"/>
        <v>140000</v>
      </c>
      <c r="J87" s="35">
        <f>SUMIFS(Historias_Backlog!$T$16:$T$47,Historias_Backlog!$H$16:$H$47,B87)</f>
        <v>0</v>
      </c>
      <c r="K87" s="22">
        <f>SUMIFS(Historias_Backlog!$U$16:$U$47,Historias_Backlog!$H$16:$H$47,B87)</f>
        <v>0</v>
      </c>
    </row>
    <row r="88" ht="19" customHeight="1">
      <c r="B88" s="11" t="s">
        <v>206</v>
      </c>
      <c r="C88" s="12" t="s">
        <v>207</v>
      </c>
      <c r="D88" s="7"/>
      <c r="E88" s="14" t="s">
        <v>208</v>
      </c>
      <c r="F88" s="17">
        <f>SUMIFS(Historias_Backlog!$J$16:$J$47,Historias_Backlog!$H$16:$H$47,B88)</f>
        <v>28</v>
      </c>
      <c r="G88" s="41">
        <f t="shared" si="5"/>
        <v>112</v>
      </c>
      <c r="H88" s="22">
        <f t="shared" si="6"/>
        <v>3920000</v>
      </c>
      <c r="I88" s="42">
        <f t="shared" si="7"/>
        <v>140000</v>
      </c>
      <c r="J88" s="35">
        <f>SUMIFS(Historias_Backlog!$T$16:$T$47,Historias_Backlog!$H$16:$H$47,B88)</f>
        <v>0</v>
      </c>
      <c r="K88" s="22">
        <f>SUMIFS(Historias_Backlog!$U$16:$U$47,Historias_Backlog!$H$16:$H$47,B88)</f>
        <v>0</v>
      </c>
    </row>
    <row r="89" ht="22" customHeight="1">
      <c r="B89" s="29" t="s">
        <v>209</v>
      </c>
      <c r="C89" s="27" t="s">
        <v>210</v>
      </c>
      <c r="D89" s="28"/>
      <c r="E89" s="28"/>
      <c r="F89" s="43">
        <f>SUM(F84:F88)</f>
        <v>150</v>
      </c>
      <c r="G89" s="44">
        <f>SUM(G84:G88)</f>
        <v>600</v>
      </c>
      <c r="H89" s="30">
        <f>SUM(H84:H88)</f>
        <v>21000000</v>
      </c>
      <c r="I89" s="30">
        <f t="shared" si="7"/>
        <v>140000</v>
      </c>
      <c r="J89" s="44">
        <f>SUM(J84:J88)</f>
        <v>0</v>
      </c>
      <c r="K89" s="30">
        <f>SUM(K84:K88)</f>
        <v>0</v>
      </c>
    </row>
  </sheetData>
  <mergeCells count="144">
    <mergeCell ref="B2:K2"/>
    <mergeCell ref="B3:K3"/>
    <mergeCell ref="B4:K4"/>
    <mergeCell ref="B6:K6"/>
    <mergeCell ref="C7:K7"/>
    <mergeCell ref="C8:K8"/>
    <mergeCell ref="C9:K9"/>
    <mergeCell ref="C10:K10"/>
    <mergeCell ref="C11:K11"/>
    <mergeCell ref="C12:K12"/>
    <mergeCell ref="C13:K13"/>
    <mergeCell ref="C14:K14"/>
    <mergeCell ref="B16:K16"/>
    <mergeCell ref="C17:D17"/>
    <mergeCell ref="H17:K17"/>
    <mergeCell ref="C18:D18"/>
    <mergeCell ref="H18:K18"/>
    <mergeCell ref="C19:D19"/>
    <mergeCell ref="H19:K19"/>
    <mergeCell ref="C20:D20"/>
    <mergeCell ref="H20:K20"/>
    <mergeCell ref="C21:D21"/>
    <mergeCell ref="H21:K21"/>
    <mergeCell ref="C22:D22"/>
    <mergeCell ref="H22:K22"/>
    <mergeCell ref="C23:D23"/>
    <mergeCell ref="H23:K23"/>
    <mergeCell ref="C24:D24"/>
    <mergeCell ref="H24:K24"/>
    <mergeCell ref="C25:D25"/>
    <mergeCell ref="H25:K25"/>
    <mergeCell ref="C26:D26"/>
    <mergeCell ref="H26:K26"/>
    <mergeCell ref="C27:D27"/>
    <mergeCell ref="H27:K27"/>
    <mergeCell ref="C28:D28"/>
    <mergeCell ref="H28:K28"/>
    <mergeCell ref="C29:D29"/>
    <mergeCell ref="H29:K29"/>
    <mergeCell ref="C30:D30"/>
    <mergeCell ref="H30:K30"/>
    <mergeCell ref="C31:D31"/>
    <mergeCell ref="H31:K31"/>
    <mergeCell ref="C32:D32"/>
    <mergeCell ref="H32:K32"/>
    <mergeCell ref="C33:D33"/>
    <mergeCell ref="H33:K33"/>
    <mergeCell ref="C34:D34"/>
    <mergeCell ref="H34:K34"/>
    <mergeCell ref="C35:D35"/>
    <mergeCell ref="H35:K35"/>
    <mergeCell ref="B37:K37"/>
    <mergeCell ref="C38:D38"/>
    <mergeCell ref="H38:K38"/>
    <mergeCell ref="C39:D39"/>
    <mergeCell ref="H39:K39"/>
    <mergeCell ref="C40:D40"/>
    <mergeCell ref="H40:K40"/>
    <mergeCell ref="C41:D41"/>
    <mergeCell ref="H41:K41"/>
    <mergeCell ref="C42:D42"/>
    <mergeCell ref="H42:K42"/>
    <mergeCell ref="B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4:K54"/>
    <mergeCell ref="B55:C55"/>
    <mergeCell ref="D55:F55"/>
    <mergeCell ref="J55:K55"/>
    <mergeCell ref="B56:C56"/>
    <mergeCell ref="D56:F56"/>
    <mergeCell ref="J56:K56"/>
    <mergeCell ref="B57:C57"/>
    <mergeCell ref="D57:F57"/>
    <mergeCell ref="J57:K57"/>
    <mergeCell ref="B58:C58"/>
    <mergeCell ref="D58:F58"/>
    <mergeCell ref="J58:K58"/>
    <mergeCell ref="B59:C59"/>
    <mergeCell ref="D59:F59"/>
    <mergeCell ref="J59:K59"/>
    <mergeCell ref="B60:C60"/>
    <mergeCell ref="D60:F60"/>
    <mergeCell ref="J60:K60"/>
    <mergeCell ref="B61:C61"/>
    <mergeCell ref="D61:F61"/>
    <mergeCell ref="J61:K61"/>
    <mergeCell ref="B62:C62"/>
    <mergeCell ref="D62:F62"/>
    <mergeCell ref="J62:K62"/>
    <mergeCell ref="B63:C63"/>
    <mergeCell ref="D63:F63"/>
    <mergeCell ref="J63:K63"/>
    <mergeCell ref="B64:C64"/>
    <mergeCell ref="D64:F64"/>
    <mergeCell ref="J64:K64"/>
    <mergeCell ref="B66:K66"/>
    <mergeCell ref="B67:D67"/>
    <mergeCell ref="G67:I67"/>
    <mergeCell ref="J67:K67"/>
    <mergeCell ref="B68:D68"/>
    <mergeCell ref="G68:I68"/>
    <mergeCell ref="J68:K68"/>
    <mergeCell ref="B69:D69"/>
    <mergeCell ref="G69:I69"/>
    <mergeCell ref="J69:K69"/>
    <mergeCell ref="B70:D70"/>
    <mergeCell ref="G70:I70"/>
    <mergeCell ref="J70:K70"/>
    <mergeCell ref="B71:D71"/>
    <mergeCell ref="G71:I71"/>
    <mergeCell ref="J71:K71"/>
    <mergeCell ref="B72:D72"/>
    <mergeCell ref="G72:I72"/>
    <mergeCell ref="J72:K72"/>
    <mergeCell ref="B74:K74"/>
    <mergeCell ref="C75:K75"/>
    <mergeCell ref="C76:K76"/>
    <mergeCell ref="C77:K77"/>
    <mergeCell ref="C78:K78"/>
    <mergeCell ref="C79:K79"/>
    <mergeCell ref="C80:K80"/>
    <mergeCell ref="B82:K82"/>
    <mergeCell ref="C83:D83"/>
    <mergeCell ref="C84:D84"/>
    <mergeCell ref="C85:D85"/>
    <mergeCell ref="C86:D86"/>
    <mergeCell ref="C87:D87"/>
    <mergeCell ref="C88:D88"/>
    <mergeCell ref="C89:D8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pane xSplit="2" ySplit="5" topLeftCell="C6" activePane="bottomRight" state="frozen"/>
      <selection activeCell="D1" activeCellId="0" sqref="D1"/>
    </sheetView>
  </sheetViews>
  <sheetFormatPr baseColWidth="8" defaultRowHeight="14.25"/>
  <cols>
    <col customWidth="1" min="1" max="1" width="3"/>
    <col customWidth="1" min="2" max="2" width="10"/>
    <col customWidth="1" min="3" max="3" width="30.00390625"/>
    <col customWidth="1" min="4" max="4" width="77.28125"/>
    <col customWidth="1" min="5" max="6" width="12"/>
    <col customWidth="1" min="7" max="7" width="10"/>
    <col customWidth="1" min="8" max="8" width="18"/>
    <col customWidth="1" min="9" max="9" width="20"/>
    <col customWidth="1" min="10" max="10" width="12"/>
    <col customWidth="1" min="11" max="11" width="10"/>
    <col customWidth="1" min="12" max="12" width="43.7109375"/>
  </cols>
  <sheetData>
    <row r="2" ht="28" customHeight="1">
      <c r="B2" s="1" t="s">
        <v>211</v>
      </c>
    </row>
    <row r="3" ht="18" customHeight="1">
      <c r="B3" s="2" t="s">
        <v>212</v>
      </c>
    </row>
    <row r="5" ht="20" customHeight="1">
      <c r="B5" s="4" t="s">
        <v>213</v>
      </c>
    </row>
    <row r="6" ht="22" customHeight="1">
      <c r="B6" s="9" t="s">
        <v>85</v>
      </c>
      <c r="C6" s="9" t="s">
        <v>214</v>
      </c>
      <c r="D6" s="9" t="s">
        <v>215</v>
      </c>
      <c r="E6" s="9" t="s">
        <v>105</v>
      </c>
      <c r="F6" s="9" t="s">
        <v>216</v>
      </c>
      <c r="G6" s="9" t="s">
        <v>24</v>
      </c>
      <c r="H6" s="9" t="s">
        <v>217</v>
      </c>
      <c r="I6" s="9" t="s">
        <v>218</v>
      </c>
      <c r="J6" s="9" t="s">
        <v>219</v>
      </c>
      <c r="K6" s="9" t="s">
        <v>220</v>
      </c>
      <c r="L6" s="9" t="s">
        <v>221</v>
      </c>
    </row>
    <row r="7" ht="19" customHeight="1">
      <c r="B7" s="45" t="s">
        <v>222</v>
      </c>
      <c r="C7" s="12" t="s">
        <v>223</v>
      </c>
      <c r="D7" s="12" t="s">
        <v>224</v>
      </c>
      <c r="E7" s="18" t="s">
        <v>225</v>
      </c>
      <c r="F7" s="41">
        <f>Historias_Backlog!M48</f>
        <v>330</v>
      </c>
      <c r="G7" s="18" t="s">
        <v>39</v>
      </c>
      <c r="H7" s="25">
        <f>Resumen_Ejecutivo!$E$22</f>
        <v>35000</v>
      </c>
      <c r="I7" s="22">
        <f t="shared" ref="I7:I9" si="8">F7*H7</f>
        <v>11550000</v>
      </c>
      <c r="J7" s="18" t="s">
        <v>111</v>
      </c>
      <c r="K7" s="18" t="s">
        <v>226</v>
      </c>
      <c r="L7" s="46" t="s">
        <v>30</v>
      </c>
    </row>
    <row r="8" ht="19" customHeight="1">
      <c r="B8" s="45" t="s">
        <v>227</v>
      </c>
      <c r="C8" s="12" t="s">
        <v>228</v>
      </c>
      <c r="D8" s="12" t="s">
        <v>229</v>
      </c>
      <c r="E8" s="18" t="s">
        <v>225</v>
      </c>
      <c r="F8" s="41">
        <f>Historias_Backlog!N48</f>
        <v>120</v>
      </c>
      <c r="G8" s="18" t="s">
        <v>39</v>
      </c>
      <c r="H8" s="25">
        <f>Resumen_Ejecutivo!$E$22</f>
        <v>35000</v>
      </c>
      <c r="I8" s="22">
        <f t="shared" si="8"/>
        <v>4200000</v>
      </c>
      <c r="J8" s="18" t="s">
        <v>111</v>
      </c>
      <c r="K8" s="18" t="s">
        <v>226</v>
      </c>
      <c r="L8" s="46" t="s">
        <v>30</v>
      </c>
    </row>
    <row r="9" ht="19" customHeight="1">
      <c r="B9" s="45" t="s">
        <v>230</v>
      </c>
      <c r="C9" s="12" t="s">
        <v>231</v>
      </c>
      <c r="D9" s="12" t="s">
        <v>232</v>
      </c>
      <c r="E9" s="18" t="s">
        <v>225</v>
      </c>
      <c r="F9" s="41">
        <f>Historias_Backlog!O48</f>
        <v>60</v>
      </c>
      <c r="G9" s="18" t="s">
        <v>39</v>
      </c>
      <c r="H9" s="25">
        <f>Resumen_Ejecutivo!$E$22</f>
        <v>35000</v>
      </c>
      <c r="I9" s="22">
        <f t="shared" si="8"/>
        <v>2100000</v>
      </c>
      <c r="J9" s="18" t="s">
        <v>111</v>
      </c>
      <c r="K9" s="18" t="s">
        <v>226</v>
      </c>
      <c r="L9" s="46" t="s">
        <v>30</v>
      </c>
    </row>
    <row r="10" ht="19" customHeight="1">
      <c r="B10" s="45" t="s">
        <v>233</v>
      </c>
      <c r="C10" s="12" t="s">
        <v>234</v>
      </c>
      <c r="D10" s="12" t="s">
        <v>235</v>
      </c>
      <c r="E10" s="18" t="s">
        <v>225</v>
      </c>
      <c r="F10" s="41">
        <f>Historias_Backlog!P48</f>
        <v>60</v>
      </c>
      <c r="G10" s="18" t="s">
        <v>39</v>
      </c>
      <c r="H10" s="25">
        <f>Resumen_Ejecutivo!$E$22</f>
        <v>35000</v>
      </c>
      <c r="I10" s="22">
        <f t="shared" ref="I10:I15" si="9">F10*H10</f>
        <v>2100000</v>
      </c>
      <c r="J10" s="18" t="s">
        <v>111</v>
      </c>
      <c r="K10" s="18" t="s">
        <v>226</v>
      </c>
      <c r="L10" s="46" t="s">
        <v>30</v>
      </c>
    </row>
    <row r="11" ht="19" customHeight="1">
      <c r="B11" s="45" t="s">
        <v>236</v>
      </c>
      <c r="C11" s="12" t="s">
        <v>237</v>
      </c>
      <c r="D11" s="12" t="s">
        <v>238</v>
      </c>
      <c r="E11" s="18" t="s">
        <v>225</v>
      </c>
      <c r="F11" s="41">
        <f>Historias_Backlog!Q48</f>
        <v>30</v>
      </c>
      <c r="G11" s="18" t="s">
        <v>39</v>
      </c>
      <c r="H11" s="25">
        <f>Resumen_Ejecutivo!$E$22</f>
        <v>35000</v>
      </c>
      <c r="I11" s="22">
        <f t="shared" si="9"/>
        <v>1050000</v>
      </c>
      <c r="J11" s="18" t="s">
        <v>111</v>
      </c>
      <c r="K11" s="18" t="s">
        <v>226</v>
      </c>
      <c r="L11" s="46" t="s">
        <v>30</v>
      </c>
    </row>
    <row r="12" ht="19" customHeight="1">
      <c r="B12" s="45" t="s">
        <v>239</v>
      </c>
      <c r="C12" s="12" t="s">
        <v>240</v>
      </c>
      <c r="D12" s="12" t="s">
        <v>241</v>
      </c>
      <c r="E12" s="18" t="s">
        <v>225</v>
      </c>
      <c r="F12" s="47">
        <v>1</v>
      </c>
      <c r="G12" s="18" t="s">
        <v>242</v>
      </c>
      <c r="H12" s="25">
        <v>0</v>
      </c>
      <c r="I12" s="22">
        <f t="shared" si="9"/>
        <v>0</v>
      </c>
      <c r="J12" s="18" t="s">
        <v>111</v>
      </c>
      <c r="K12" s="18" t="s">
        <v>243</v>
      </c>
      <c r="L12" s="46" t="s">
        <v>30</v>
      </c>
    </row>
    <row r="13" ht="19" customHeight="1">
      <c r="B13" s="45" t="s">
        <v>244</v>
      </c>
      <c r="C13" s="12" t="s">
        <v>245</v>
      </c>
      <c r="D13" s="12" t="s">
        <v>246</v>
      </c>
      <c r="E13" s="18" t="s">
        <v>247</v>
      </c>
      <c r="F13" s="47">
        <v>1000</v>
      </c>
      <c r="G13" s="18" t="s">
        <v>248</v>
      </c>
      <c r="H13" s="25">
        <v>0</v>
      </c>
      <c r="I13" s="22">
        <f t="shared" si="9"/>
        <v>0</v>
      </c>
      <c r="J13" s="18" t="s">
        <v>111</v>
      </c>
      <c r="K13" s="18" t="s">
        <v>249</v>
      </c>
      <c r="L13" s="46" t="s">
        <v>30</v>
      </c>
    </row>
    <row r="14" ht="19" customHeight="1">
      <c r="B14" s="45" t="s">
        <v>250</v>
      </c>
      <c r="C14" s="12" t="s">
        <v>251</v>
      </c>
      <c r="D14" s="12" t="s">
        <v>252</v>
      </c>
      <c r="E14" s="18" t="s">
        <v>247</v>
      </c>
      <c r="F14" s="47">
        <v>500</v>
      </c>
      <c r="G14" s="18" t="s">
        <v>253</v>
      </c>
      <c r="H14" s="25">
        <v>0</v>
      </c>
      <c r="I14" s="22">
        <f t="shared" si="9"/>
        <v>0</v>
      </c>
      <c r="J14" s="18" t="s">
        <v>111</v>
      </c>
      <c r="K14" s="18" t="s">
        <v>249</v>
      </c>
      <c r="L14" s="46" t="s">
        <v>30</v>
      </c>
    </row>
    <row r="15" ht="19" customHeight="1">
      <c r="B15" s="45" t="s">
        <v>254</v>
      </c>
      <c r="C15" s="12" t="s">
        <v>255</v>
      </c>
      <c r="D15" s="12" t="s">
        <v>256</v>
      </c>
      <c r="E15" s="18" t="s">
        <v>225</v>
      </c>
      <c r="F15" s="47">
        <v>1</v>
      </c>
      <c r="G15" s="18" t="s">
        <v>257</v>
      </c>
      <c r="H15" s="25">
        <v>0</v>
      </c>
      <c r="I15" s="22">
        <f t="shared" si="9"/>
        <v>0</v>
      </c>
      <c r="J15" s="18" t="s">
        <v>111</v>
      </c>
      <c r="K15" s="18" t="s">
        <v>258</v>
      </c>
      <c r="L15" s="46" t="s">
        <v>30</v>
      </c>
    </row>
    <row r="16" ht="21" customHeight="1">
      <c r="B16" s="29" t="s">
        <v>259</v>
      </c>
      <c r="C16" s="27" t="s">
        <v>260</v>
      </c>
      <c r="D16" s="28"/>
      <c r="E16" s="28"/>
      <c r="F16" s="28"/>
      <c r="G16" s="28"/>
      <c r="H16" s="28"/>
      <c r="I16" s="30">
        <f>SUM(I7:I15)</f>
        <v>21000000</v>
      </c>
      <c r="J16" s="28"/>
      <c r="K16" s="28"/>
      <c r="L16" s="28"/>
    </row>
    <row r="18" ht="20" customHeight="1">
      <c r="B18" s="4" t="s">
        <v>261</v>
      </c>
    </row>
    <row r="19" ht="22" customHeight="1">
      <c r="B19" s="9" t="s">
        <v>85</v>
      </c>
      <c r="C19" s="9" t="s">
        <v>214</v>
      </c>
      <c r="D19" s="9" t="s">
        <v>215</v>
      </c>
      <c r="E19" s="9" t="s">
        <v>105</v>
      </c>
      <c r="F19" s="9" t="s">
        <v>216</v>
      </c>
      <c r="G19" s="9" t="s">
        <v>24</v>
      </c>
      <c r="H19" s="9" t="s">
        <v>217</v>
      </c>
      <c r="I19" s="9" t="s">
        <v>218</v>
      </c>
      <c r="J19" s="9" t="s">
        <v>219</v>
      </c>
      <c r="K19" s="9" t="s">
        <v>220</v>
      </c>
      <c r="L19" s="9" t="s">
        <v>221</v>
      </c>
    </row>
    <row r="20" ht="19" customHeight="1">
      <c r="B20" s="45" t="s">
        <v>262</v>
      </c>
      <c r="C20" s="12" t="s">
        <v>263</v>
      </c>
      <c r="D20" s="12" t="s">
        <v>264</v>
      </c>
      <c r="E20" s="18" t="s">
        <v>225</v>
      </c>
      <c r="F20" s="47">
        <v>10</v>
      </c>
      <c r="G20" s="18" t="s">
        <v>39</v>
      </c>
      <c r="H20" s="25">
        <f>Resumen_Ejecutivo!$E$22</f>
        <v>35000</v>
      </c>
      <c r="I20" s="22">
        <f t="shared" ref="I20:I24" si="10">F20*H20</f>
        <v>350000</v>
      </c>
      <c r="J20" s="18" t="s">
        <v>111</v>
      </c>
      <c r="K20" s="18" t="s">
        <v>265</v>
      </c>
      <c r="L20" s="48" t="s">
        <v>57</v>
      </c>
    </row>
    <row r="21" ht="19" customHeight="1">
      <c r="B21" s="45" t="s">
        <v>266</v>
      </c>
      <c r="C21" s="12" t="s">
        <v>267</v>
      </c>
      <c r="D21" s="12" t="s">
        <v>268</v>
      </c>
      <c r="E21" s="18" t="s">
        <v>225</v>
      </c>
      <c r="F21" s="47">
        <v>8</v>
      </c>
      <c r="G21" s="18" t="s">
        <v>39</v>
      </c>
      <c r="H21" s="25">
        <f>Resumen_Ejecutivo!$E$22</f>
        <v>35000</v>
      </c>
      <c r="I21" s="22">
        <f t="shared" si="10"/>
        <v>280000</v>
      </c>
      <c r="J21" s="18" t="s">
        <v>111</v>
      </c>
      <c r="K21" s="18" t="s">
        <v>265</v>
      </c>
      <c r="L21" s="48" t="s">
        <v>57</v>
      </c>
    </row>
    <row r="22" ht="19" customHeight="1">
      <c r="B22" s="45" t="s">
        <v>269</v>
      </c>
      <c r="C22" s="12" t="s">
        <v>270</v>
      </c>
      <c r="D22" s="12" t="s">
        <v>271</v>
      </c>
      <c r="E22" s="18" t="s">
        <v>225</v>
      </c>
      <c r="F22" s="47">
        <v>10</v>
      </c>
      <c r="G22" s="18" t="s">
        <v>39</v>
      </c>
      <c r="H22" s="25">
        <f>Resumen_Ejecutivo!$E$22</f>
        <v>35000</v>
      </c>
      <c r="I22" s="22">
        <f t="shared" si="10"/>
        <v>350000</v>
      </c>
      <c r="J22" s="18" t="s">
        <v>111</v>
      </c>
      <c r="K22" s="18" t="s">
        <v>265</v>
      </c>
      <c r="L22" s="48" t="s">
        <v>57</v>
      </c>
    </row>
    <row r="23" ht="19" customHeight="1">
      <c r="B23" s="45" t="s">
        <v>272</v>
      </c>
      <c r="C23" s="12" t="s">
        <v>273</v>
      </c>
      <c r="D23" s="12" t="s">
        <v>274</v>
      </c>
      <c r="E23" s="18" t="s">
        <v>225</v>
      </c>
      <c r="F23" s="47">
        <v>10</v>
      </c>
      <c r="G23" s="18" t="s">
        <v>39</v>
      </c>
      <c r="H23" s="25">
        <f>Resumen_Ejecutivo!$E$22</f>
        <v>35000</v>
      </c>
      <c r="I23" s="22">
        <f t="shared" si="10"/>
        <v>350000</v>
      </c>
      <c r="J23" s="18" t="s">
        <v>111</v>
      </c>
      <c r="K23" s="18" t="s">
        <v>265</v>
      </c>
      <c r="L23" s="48" t="s">
        <v>57</v>
      </c>
    </row>
    <row r="24" ht="19" customHeight="1">
      <c r="B24" s="45" t="s">
        <v>275</v>
      </c>
      <c r="C24" s="12" t="s">
        <v>276</v>
      </c>
      <c r="D24" s="12" t="s">
        <v>277</v>
      </c>
      <c r="E24" s="18" t="s">
        <v>225</v>
      </c>
      <c r="F24" s="47">
        <v>1</v>
      </c>
      <c r="G24" s="18" t="s">
        <v>278</v>
      </c>
      <c r="H24" s="25">
        <v>200000</v>
      </c>
      <c r="I24" s="22">
        <f t="shared" si="10"/>
        <v>200000</v>
      </c>
      <c r="J24" s="18" t="s">
        <v>111</v>
      </c>
      <c r="K24" s="18" t="s">
        <v>265</v>
      </c>
      <c r="L24" s="46" t="s">
        <v>30</v>
      </c>
    </row>
    <row r="25" ht="21" customHeight="1">
      <c r="B25" s="29" t="s">
        <v>279</v>
      </c>
      <c r="C25" s="27" t="s">
        <v>280</v>
      </c>
      <c r="D25" s="28"/>
      <c r="E25" s="28"/>
      <c r="F25" s="28"/>
      <c r="G25" s="28"/>
      <c r="H25" s="28"/>
      <c r="I25" s="30">
        <f>SUM(I20:I24)</f>
        <v>1530000</v>
      </c>
      <c r="J25" s="28"/>
      <c r="K25" s="28"/>
      <c r="L25" s="28"/>
    </row>
    <row r="27" ht="20" customHeight="1">
      <c r="B27" s="4" t="s">
        <v>281</v>
      </c>
    </row>
    <row r="28" ht="22" customHeight="1">
      <c r="B28" s="9" t="s">
        <v>282</v>
      </c>
      <c r="C28" s="9" t="s">
        <v>283</v>
      </c>
      <c r="D28" s="9" t="s">
        <v>284</v>
      </c>
      <c r="E28" s="9" t="s">
        <v>105</v>
      </c>
      <c r="F28" s="9" t="s">
        <v>285</v>
      </c>
      <c r="G28" s="9" t="s">
        <v>24</v>
      </c>
      <c r="H28" s="9" t="s">
        <v>286</v>
      </c>
      <c r="I28" s="9" t="s">
        <v>287</v>
      </c>
      <c r="J28" s="9" t="s">
        <v>219</v>
      </c>
      <c r="K28" s="9" t="s">
        <v>220</v>
      </c>
      <c r="L28" s="9" t="s">
        <v>288</v>
      </c>
    </row>
    <row r="29" ht="19" customHeight="1">
      <c r="B29" s="11" t="s">
        <v>289</v>
      </c>
      <c r="C29" s="12" t="s">
        <v>290</v>
      </c>
      <c r="D29" s="12" t="s">
        <v>291</v>
      </c>
      <c r="E29" s="18" t="s">
        <v>292</v>
      </c>
      <c r="F29" s="25">
        <v>300000</v>
      </c>
      <c r="G29" s="18" t="s">
        <v>293</v>
      </c>
      <c r="H29" s="24">
        <v>0.4</v>
      </c>
      <c r="I29" s="22">
        <f t="shared" ref="I29:I34" si="11">ROUND(F29*H29,0)</f>
        <v>120000</v>
      </c>
      <c r="J29" s="18" t="s">
        <v>111</v>
      </c>
      <c r="K29" s="18" t="s">
        <v>243</v>
      </c>
      <c r="L29" s="12" t="s">
        <v>294</v>
      </c>
    </row>
    <row r="30" ht="19" customHeight="1">
      <c r="B30" s="11" t="s">
        <v>295</v>
      </c>
      <c r="C30" s="12" t="s">
        <v>296</v>
      </c>
      <c r="D30" s="12" t="s">
        <v>297</v>
      </c>
      <c r="E30" s="18" t="s">
        <v>292</v>
      </c>
      <c r="F30" s="25">
        <f>20*Resumen_Ejecutivo!$E$22</f>
        <v>700000</v>
      </c>
      <c r="G30" s="18" t="s">
        <v>293</v>
      </c>
      <c r="H30" s="24">
        <v>0.6</v>
      </c>
      <c r="I30" s="22">
        <f t="shared" si="11"/>
        <v>420000</v>
      </c>
      <c r="J30" s="18" t="s">
        <v>111</v>
      </c>
      <c r="K30" s="18" t="s">
        <v>265</v>
      </c>
      <c r="L30" s="12" t="s">
        <v>298</v>
      </c>
    </row>
    <row r="31" ht="19" customHeight="1">
      <c r="B31" s="11" t="s">
        <v>299</v>
      </c>
      <c r="C31" s="12" t="s">
        <v>300</v>
      </c>
      <c r="D31" s="12" t="s">
        <v>301</v>
      </c>
      <c r="E31" s="18" t="s">
        <v>292</v>
      </c>
      <c r="F31" s="25">
        <v>250000</v>
      </c>
      <c r="G31" s="18" t="s">
        <v>293</v>
      </c>
      <c r="H31" s="24">
        <v>0.3</v>
      </c>
      <c r="I31" s="22">
        <f t="shared" si="11"/>
        <v>75000</v>
      </c>
      <c r="J31" s="18" t="s">
        <v>111</v>
      </c>
      <c r="K31" s="18" t="s">
        <v>249</v>
      </c>
      <c r="L31" s="12" t="s">
        <v>302</v>
      </c>
    </row>
    <row r="32" ht="19" customHeight="1">
      <c r="B32" s="11" t="s">
        <v>303</v>
      </c>
      <c r="C32" s="12" t="s">
        <v>304</v>
      </c>
      <c r="D32" s="12" t="s">
        <v>305</v>
      </c>
      <c r="E32" s="18" t="s">
        <v>292</v>
      </c>
      <c r="F32" s="25">
        <f>40*Resumen_Ejecutivo!$E$22</f>
        <v>1400000</v>
      </c>
      <c r="G32" s="18" t="s">
        <v>293</v>
      </c>
      <c r="H32" s="24">
        <v>0.7</v>
      </c>
      <c r="I32" s="22">
        <f t="shared" si="11"/>
        <v>980000</v>
      </c>
      <c r="J32" s="18" t="s">
        <v>111</v>
      </c>
      <c r="K32" s="18" t="s">
        <v>258</v>
      </c>
      <c r="L32" s="12" t="s">
        <v>306</v>
      </c>
    </row>
    <row r="33" ht="19" customHeight="1">
      <c r="B33" s="11" t="s">
        <v>307</v>
      </c>
      <c r="C33" s="12" t="s">
        <v>308</v>
      </c>
      <c r="D33" s="12" t="s">
        <v>309</v>
      </c>
      <c r="E33" s="18" t="s">
        <v>292</v>
      </c>
      <c r="F33" s="25">
        <f>15*Resumen_Ejecutivo!$E$22</f>
        <v>525000</v>
      </c>
      <c r="G33" s="18" t="s">
        <v>293</v>
      </c>
      <c r="H33" s="24">
        <v>0.4</v>
      </c>
      <c r="I33" s="22">
        <f t="shared" si="11"/>
        <v>210000</v>
      </c>
      <c r="J33" s="18" t="s">
        <v>111</v>
      </c>
      <c r="K33" s="18" t="s">
        <v>310</v>
      </c>
      <c r="L33" s="12" t="s">
        <v>311</v>
      </c>
    </row>
    <row r="34" ht="19" customHeight="1">
      <c r="B34" s="11" t="s">
        <v>312</v>
      </c>
      <c r="C34" s="12" t="s">
        <v>313</v>
      </c>
      <c r="D34" s="12" t="s">
        <v>314</v>
      </c>
      <c r="E34" s="18" t="s">
        <v>292</v>
      </c>
      <c r="F34" s="25">
        <f>20*Resumen_Ejecutivo!$E$22</f>
        <v>700000</v>
      </c>
      <c r="G34" s="18" t="s">
        <v>293</v>
      </c>
      <c r="H34" s="24">
        <v>0.5</v>
      </c>
      <c r="I34" s="22">
        <f t="shared" si="11"/>
        <v>350000</v>
      </c>
      <c r="J34" s="18" t="s">
        <v>111</v>
      </c>
      <c r="K34" s="18" t="s">
        <v>265</v>
      </c>
      <c r="L34" s="12" t="s">
        <v>315</v>
      </c>
    </row>
    <row r="35" ht="21" customHeight="1">
      <c r="B35" s="29" t="s">
        <v>316</v>
      </c>
      <c r="C35" s="27" t="s">
        <v>317</v>
      </c>
      <c r="D35" s="28"/>
      <c r="E35" s="28"/>
      <c r="F35" s="28"/>
      <c r="G35" s="28"/>
      <c r="H35" s="28"/>
      <c r="I35" s="30">
        <f>SUM(I29:I34)</f>
        <v>2155000</v>
      </c>
      <c r="J35" s="28"/>
      <c r="K35" s="28"/>
      <c r="L35" s="28"/>
    </row>
    <row r="36" ht="24" customHeight="1">
      <c r="B36" s="49" t="s">
        <v>136</v>
      </c>
      <c r="C36" s="50" t="s">
        <v>318</v>
      </c>
      <c r="D36" s="50"/>
      <c r="E36" s="50"/>
      <c r="F36" s="50"/>
      <c r="G36" s="50"/>
      <c r="H36" s="50"/>
      <c r="I36" s="51">
        <f>I16+I25+I35</f>
        <v>24685000</v>
      </c>
      <c r="J36" s="50"/>
      <c r="K36" s="50"/>
      <c r="L36" s="50"/>
    </row>
    <row r="38" ht="20" customHeight="1">
      <c r="B38" s="4" t="s">
        <v>319</v>
      </c>
    </row>
    <row r="39" ht="22" customHeight="1">
      <c r="B39" s="9" t="s">
        <v>85</v>
      </c>
      <c r="C39" s="9" t="s">
        <v>214</v>
      </c>
      <c r="D39" s="9" t="s">
        <v>215</v>
      </c>
      <c r="E39" s="9" t="s">
        <v>105</v>
      </c>
      <c r="F39" s="9" t="s">
        <v>216</v>
      </c>
      <c r="G39" s="9" t="s">
        <v>24</v>
      </c>
      <c r="H39" s="9" t="s">
        <v>217</v>
      </c>
      <c r="I39" s="9" t="s">
        <v>218</v>
      </c>
      <c r="J39" s="9" t="s">
        <v>219</v>
      </c>
      <c r="K39" s="9" t="s">
        <v>220</v>
      </c>
      <c r="L39" s="9" t="s">
        <v>221</v>
      </c>
    </row>
    <row r="40" ht="19" customHeight="1">
      <c r="B40" s="45" t="s">
        <v>320</v>
      </c>
      <c r="C40" s="12" t="s">
        <v>321</v>
      </c>
      <c r="D40" s="12" t="s">
        <v>322</v>
      </c>
      <c r="E40" s="18" t="s">
        <v>323</v>
      </c>
      <c r="F40" s="47">
        <v>12</v>
      </c>
      <c r="G40" s="18" t="s">
        <v>170</v>
      </c>
      <c r="H40" s="25">
        <f>ROUND(12*Resumen_Ejecutivo!$E$25,0)</f>
        <v>49800</v>
      </c>
      <c r="I40" s="22">
        <f t="shared" ref="I40:I43" si="12">F40*H40</f>
        <v>597600</v>
      </c>
      <c r="J40" s="18" t="s">
        <v>118</v>
      </c>
      <c r="K40" s="18" t="s">
        <v>265</v>
      </c>
      <c r="L40" s="46" t="s">
        <v>30</v>
      </c>
    </row>
    <row r="41" ht="19" customHeight="1">
      <c r="B41" s="45" t="s">
        <v>324</v>
      </c>
      <c r="C41" s="12" t="s">
        <v>321</v>
      </c>
      <c r="D41" s="12" t="s">
        <v>325</v>
      </c>
      <c r="E41" s="18" t="s">
        <v>323</v>
      </c>
      <c r="F41" s="47">
        <v>1</v>
      </c>
      <c r="G41" s="18" t="s">
        <v>326</v>
      </c>
      <c r="H41" s="25">
        <f>ROUND(14*Resumen_Ejecutivo!$E$25,0)</f>
        <v>58100</v>
      </c>
      <c r="I41" s="22">
        <f t="shared" si="12"/>
        <v>58100</v>
      </c>
      <c r="J41" s="18" t="s">
        <v>118</v>
      </c>
      <c r="K41" s="18" t="s">
        <v>265</v>
      </c>
      <c r="L41" s="46" t="s">
        <v>30</v>
      </c>
    </row>
    <row r="42" ht="19" customHeight="1">
      <c r="B42" s="45" t="s">
        <v>327</v>
      </c>
      <c r="C42" s="12" t="s">
        <v>321</v>
      </c>
      <c r="D42" s="12" t="s">
        <v>328</v>
      </c>
      <c r="E42" s="18" t="s">
        <v>323</v>
      </c>
      <c r="F42" s="47">
        <v>12</v>
      </c>
      <c r="G42" s="18" t="s">
        <v>170</v>
      </c>
      <c r="H42" s="25">
        <v>0</v>
      </c>
      <c r="I42" s="22">
        <f t="shared" si="12"/>
        <v>0</v>
      </c>
      <c r="J42" s="18" t="s">
        <v>118</v>
      </c>
      <c r="K42" s="18" t="s">
        <v>265</v>
      </c>
      <c r="L42" s="46" t="s">
        <v>30</v>
      </c>
    </row>
    <row r="43" ht="19" customHeight="1">
      <c r="B43" s="45" t="s">
        <v>329</v>
      </c>
      <c r="C43" s="12" t="s">
        <v>321</v>
      </c>
      <c r="D43" s="12" t="s">
        <v>330</v>
      </c>
      <c r="E43" s="18" t="s">
        <v>323</v>
      </c>
      <c r="F43" s="47">
        <v>12</v>
      </c>
      <c r="G43" s="18" t="s">
        <v>170</v>
      </c>
      <c r="H43" s="25">
        <v>0</v>
      </c>
      <c r="I43" s="22">
        <f t="shared" si="12"/>
        <v>0</v>
      </c>
      <c r="J43" s="18" t="s">
        <v>118</v>
      </c>
      <c r="K43" s="18" t="s">
        <v>265</v>
      </c>
      <c r="L43" s="46" t="s">
        <v>30</v>
      </c>
    </row>
    <row r="44" ht="20" customHeight="1">
      <c r="B44" s="29" t="s">
        <v>331</v>
      </c>
      <c r="C44" s="27" t="s">
        <v>332</v>
      </c>
      <c r="D44" s="28"/>
      <c r="E44" s="28"/>
      <c r="F44" s="28"/>
      <c r="G44" s="28"/>
      <c r="H44" s="28"/>
      <c r="I44" s="30">
        <f>SUM(I40:I43)</f>
        <v>655700</v>
      </c>
      <c r="J44" s="28"/>
      <c r="K44" s="28"/>
      <c r="L44" s="28"/>
    </row>
    <row r="45" ht="19" customHeight="1">
      <c r="B45" s="45" t="s">
        <v>333</v>
      </c>
      <c r="C45" s="12" t="s">
        <v>267</v>
      </c>
      <c r="D45" s="12" t="s">
        <v>334</v>
      </c>
      <c r="E45" s="18" t="s">
        <v>247</v>
      </c>
      <c r="F45" s="47">
        <v>12</v>
      </c>
      <c r="G45" s="18" t="s">
        <v>170</v>
      </c>
      <c r="H45" s="25">
        <f>ROUND(6*Resumen_Ejecutivo!$E$25,0)</f>
        <v>24900</v>
      </c>
      <c r="I45" s="22">
        <f t="shared" ref="I45:I48" si="13">F45*H45</f>
        <v>298800</v>
      </c>
      <c r="J45" s="18" t="s">
        <v>118</v>
      </c>
      <c r="K45" s="18" t="s">
        <v>249</v>
      </c>
      <c r="L45" s="48" t="s">
        <v>57</v>
      </c>
    </row>
    <row r="46" ht="19" customHeight="1">
      <c r="B46" s="45" t="s">
        <v>335</v>
      </c>
      <c r="C46" s="12" t="s">
        <v>267</v>
      </c>
      <c r="D46" s="12" t="s">
        <v>336</v>
      </c>
      <c r="E46" s="18" t="s">
        <v>247</v>
      </c>
      <c r="F46" s="47">
        <v>12</v>
      </c>
      <c r="G46" s="18" t="s">
        <v>170</v>
      </c>
      <c r="H46" s="25">
        <f>ROUND(2*Resumen_Ejecutivo!$E$25,0)</f>
        <v>8300</v>
      </c>
      <c r="I46" s="22">
        <f t="shared" si="13"/>
        <v>99600</v>
      </c>
      <c r="J46" s="18" t="s">
        <v>118</v>
      </c>
      <c r="K46" s="18" t="s">
        <v>249</v>
      </c>
      <c r="L46" s="48" t="s">
        <v>57</v>
      </c>
    </row>
    <row r="47" ht="19" customHeight="1">
      <c r="B47" s="45" t="s">
        <v>337</v>
      </c>
      <c r="C47" s="12" t="s">
        <v>338</v>
      </c>
      <c r="D47" s="12" t="s">
        <v>339</v>
      </c>
      <c r="E47" s="18" t="s">
        <v>323</v>
      </c>
      <c r="F47" s="47">
        <v>12</v>
      </c>
      <c r="G47" s="18" t="s">
        <v>170</v>
      </c>
      <c r="H47" s="25">
        <v>22000</v>
      </c>
      <c r="I47" s="22">
        <f t="shared" si="13"/>
        <v>264000</v>
      </c>
      <c r="J47" s="18" t="s">
        <v>118</v>
      </c>
      <c r="K47" s="18" t="s">
        <v>249</v>
      </c>
      <c r="L47" s="46" t="s">
        <v>30</v>
      </c>
    </row>
    <row r="48" ht="19" customHeight="1">
      <c r="B48" s="45" t="s">
        <v>340</v>
      </c>
      <c r="C48" s="12" t="s">
        <v>341</v>
      </c>
      <c r="D48" s="12" t="s">
        <v>342</v>
      </c>
      <c r="E48" s="18" t="s">
        <v>247</v>
      </c>
      <c r="F48" s="47">
        <v>12</v>
      </c>
      <c r="G48" s="18" t="s">
        <v>170</v>
      </c>
      <c r="H48" s="25">
        <v>0</v>
      </c>
      <c r="I48" s="22">
        <f t="shared" si="13"/>
        <v>0</v>
      </c>
      <c r="J48" s="18" t="s">
        <v>118</v>
      </c>
      <c r="K48" s="18" t="s">
        <v>258</v>
      </c>
      <c r="L48" s="46" t="s">
        <v>30</v>
      </c>
    </row>
    <row r="49" ht="20" customHeight="1">
      <c r="B49" s="29" t="s">
        <v>343</v>
      </c>
      <c r="C49" s="27" t="s">
        <v>344</v>
      </c>
      <c r="D49" s="28"/>
      <c r="E49" s="28"/>
      <c r="F49" s="28"/>
      <c r="G49" s="28"/>
      <c r="H49" s="28"/>
      <c r="I49" s="30">
        <f>SUM(I45:I48)</f>
        <v>662400</v>
      </c>
      <c r="J49" s="28"/>
      <c r="K49" s="28"/>
      <c r="L49" s="28"/>
    </row>
    <row r="50" ht="19" customHeight="1">
      <c r="B50" s="45" t="s">
        <v>345</v>
      </c>
      <c r="C50" s="12" t="s">
        <v>346</v>
      </c>
      <c r="D50" s="12" t="s">
        <v>347</v>
      </c>
      <c r="E50" s="18" t="s">
        <v>323</v>
      </c>
      <c r="F50" s="47">
        <v>12</v>
      </c>
      <c r="G50" s="18" t="s">
        <v>170</v>
      </c>
      <c r="H50" s="25">
        <v>180000</v>
      </c>
      <c r="I50" s="22">
        <f t="shared" ref="I50:I51" si="14">F50*H50</f>
        <v>2160000</v>
      </c>
      <c r="J50" s="18" t="s">
        <v>118</v>
      </c>
      <c r="K50" s="18" t="s">
        <v>348</v>
      </c>
      <c r="L50" s="48" t="s">
        <v>57</v>
      </c>
    </row>
    <row r="51" ht="19" customHeight="1">
      <c r="B51" s="45" t="s">
        <v>349</v>
      </c>
      <c r="C51" s="12" t="s">
        <v>346</v>
      </c>
      <c r="D51" s="12" t="s">
        <v>350</v>
      </c>
      <c r="E51" s="18" t="s">
        <v>323</v>
      </c>
      <c r="F51" s="47">
        <v>12</v>
      </c>
      <c r="G51" s="18" t="s">
        <v>170</v>
      </c>
      <c r="H51" s="25">
        <v>0</v>
      </c>
      <c r="I51" s="22">
        <f t="shared" si="14"/>
        <v>0</v>
      </c>
      <c r="J51" s="18" t="s">
        <v>118</v>
      </c>
      <c r="K51" s="18" t="s">
        <v>348</v>
      </c>
      <c r="L51" s="46" t="s">
        <v>30</v>
      </c>
    </row>
    <row r="52" ht="20" customHeight="1">
      <c r="B52" s="29" t="s">
        <v>351</v>
      </c>
      <c r="C52" s="27" t="s">
        <v>352</v>
      </c>
      <c r="D52" s="28"/>
      <c r="E52" s="28"/>
      <c r="F52" s="28"/>
      <c r="G52" s="28"/>
      <c r="H52" s="28"/>
      <c r="I52" s="30">
        <f>SUM(I50:I51)</f>
        <v>2160000</v>
      </c>
      <c r="J52" s="28"/>
      <c r="K52" s="28"/>
      <c r="L52" s="28"/>
    </row>
    <row r="53" ht="22" customHeight="1">
      <c r="B53" s="52" t="s">
        <v>353</v>
      </c>
      <c r="C53" s="53" t="s">
        <v>354</v>
      </c>
      <c r="D53" s="53"/>
      <c r="E53" s="53"/>
      <c r="F53" s="53"/>
      <c r="G53" s="53"/>
      <c r="H53" s="53"/>
      <c r="I53" s="54">
        <f>I44+I49+I52</f>
        <v>3478100</v>
      </c>
      <c r="J53" s="53"/>
      <c r="K53" s="53"/>
      <c r="L53" s="53"/>
    </row>
    <row r="54" ht="20" customHeight="1">
      <c r="B54" s="36" t="s">
        <v>355</v>
      </c>
      <c r="C54" s="37" t="s">
        <v>356</v>
      </c>
      <c r="D54" s="38"/>
      <c r="E54" s="38"/>
      <c r="F54" s="38"/>
      <c r="G54" s="38"/>
      <c r="H54" s="38"/>
      <c r="I54" s="55">
        <f>I53/12</f>
        <v>289841.666666667</v>
      </c>
      <c r="J54" s="38"/>
      <c r="K54" s="38"/>
      <c r="L54" s="38"/>
    </row>
    <row r="55" ht="20" customHeight="1">
      <c r="B55" s="21" t="s">
        <v>357</v>
      </c>
      <c r="C55" s="56" t="s">
        <v>358</v>
      </c>
      <c r="D55" s="57"/>
      <c r="E55" s="57"/>
      <c r="F55" s="57"/>
      <c r="G55" s="57"/>
      <c r="H55" s="57"/>
      <c r="I55" s="58">
        <f>SUMIFS(I7:I15,L7:L15,"Estimado")+SUMIFS(I20:I24,L20:L24,"Estimado")+SUMIFS(I45:I48,L45:L48,"Estimado")+SUMIFS(I50:I51,L50:L51,"Estimado")</f>
        <v>3888400</v>
      </c>
      <c r="J55" s="57"/>
      <c r="K55" s="57"/>
      <c r="L55" s="57"/>
    </row>
    <row r="57" ht="20" customHeight="1">
      <c r="B57" s="4" t="s">
        <v>359</v>
      </c>
    </row>
    <row r="58" ht="22" customHeight="1">
      <c r="B58" s="9" t="s">
        <v>282</v>
      </c>
      <c r="C58" s="9" t="s">
        <v>360</v>
      </c>
      <c r="D58" s="9" t="s">
        <v>361</v>
      </c>
      <c r="E58" s="9" t="s">
        <v>185</v>
      </c>
      <c r="F58" s="9" t="s">
        <v>49</v>
      </c>
      <c r="G58" s="9" t="s">
        <v>189</v>
      </c>
      <c r="H58" s="9" t="s">
        <v>362</v>
      </c>
      <c r="I58" s="9" t="s">
        <v>363</v>
      </c>
      <c r="J58" s="9" t="s">
        <v>218</v>
      </c>
      <c r="K58" s="9" t="s">
        <v>89</v>
      </c>
      <c r="L58" s="9" t="s">
        <v>364</v>
      </c>
    </row>
    <row r="59" ht="19" customHeight="1">
      <c r="B59" s="11" t="s">
        <v>243</v>
      </c>
      <c r="C59" s="12" t="s">
        <v>365</v>
      </c>
      <c r="D59" s="12" t="s">
        <v>366</v>
      </c>
      <c r="E59" s="18" t="s">
        <v>367</v>
      </c>
      <c r="F59" s="47">
        <f>SUMIFS(Historias_Backlog!$J$16:$J$47,Historias_Backlog!$E$16:$E$47,B59)</f>
        <v>0</v>
      </c>
      <c r="G59" s="41">
        <f>F59*Resumen_Ejecutivo!$E$23</f>
        <v>0</v>
      </c>
      <c r="H59" s="25">
        <f>G59*Resumen_Ejecutivo!$E$22</f>
        <v>0</v>
      </c>
      <c r="I59" s="25">
        <v>0</v>
      </c>
      <c r="J59" s="22">
        <f t="shared" ref="J59:J69" si="15">H59+I59</f>
        <v>0</v>
      </c>
      <c r="K59" s="24">
        <f t="shared" ref="K59:K69" si="16">J59/$I$36</f>
        <v>0</v>
      </c>
      <c r="L59" s="22">
        <f>SUMIFS(Historias_Backlog!$U$16:$U$47,Historias_Backlog!$E$16:$E$47,B59)</f>
        <v>0</v>
      </c>
    </row>
    <row r="60" ht="19" customHeight="1">
      <c r="B60" s="11" t="s">
        <v>368</v>
      </c>
      <c r="C60" s="12" t="s">
        <v>369</v>
      </c>
      <c r="D60" s="12" t="s">
        <v>370</v>
      </c>
      <c r="E60" s="18" t="s">
        <v>371</v>
      </c>
      <c r="F60" s="47">
        <f>SUMIFS(Historias_Backlog!$J$16:$J$47,Historias_Backlog!$E$16:$E$47,B60)</f>
        <v>20</v>
      </c>
      <c r="G60" s="41">
        <f>F60*Resumen_Ejecutivo!$E$23</f>
        <v>80</v>
      </c>
      <c r="H60" s="25">
        <f>G60*Resumen_Ejecutivo!$E$22</f>
        <v>2800000</v>
      </c>
      <c r="I60" s="25">
        <v>0</v>
      </c>
      <c r="J60" s="22">
        <f t="shared" si="15"/>
        <v>2800000</v>
      </c>
      <c r="K60" s="24">
        <f t="shared" si="16"/>
        <v>0.113429208021065</v>
      </c>
      <c r="L60" s="22">
        <f>SUMIFS(Historias_Backlog!$U$16:$U$47,Historias_Backlog!$E$16:$E$47,B60)</f>
        <v>0</v>
      </c>
    </row>
    <row r="61" ht="19" customHeight="1">
      <c r="B61" s="11" t="s">
        <v>249</v>
      </c>
      <c r="C61" s="12" t="s">
        <v>372</v>
      </c>
      <c r="D61" s="12" t="s">
        <v>373</v>
      </c>
      <c r="E61" s="18" t="s">
        <v>374</v>
      </c>
      <c r="F61" s="47">
        <f>SUMIFS(Historias_Backlog!$J$16:$J$47,Historias_Backlog!$E$16:$E$47,B61)</f>
        <v>38</v>
      </c>
      <c r="G61" s="41">
        <f>F61*Resumen_Ejecutivo!$E$23</f>
        <v>152</v>
      </c>
      <c r="H61" s="25">
        <f>G61*Resumen_Ejecutivo!$E$22</f>
        <v>5320000</v>
      </c>
      <c r="I61" s="25">
        <v>0</v>
      </c>
      <c r="J61" s="22">
        <f t="shared" si="15"/>
        <v>5320000</v>
      </c>
      <c r="K61" s="24">
        <f t="shared" si="16"/>
        <v>0.215515495240024</v>
      </c>
      <c r="L61" s="22">
        <f>SUMIFS(Historias_Backlog!$U$16:$U$47,Historias_Backlog!$E$16:$E$47,B61)</f>
        <v>0</v>
      </c>
    </row>
    <row r="62" ht="19" customHeight="1">
      <c r="B62" s="11" t="s">
        <v>375</v>
      </c>
      <c r="C62" s="12" t="s">
        <v>376</v>
      </c>
      <c r="D62" s="12" t="s">
        <v>377</v>
      </c>
      <c r="E62" s="18" t="s">
        <v>378</v>
      </c>
      <c r="F62" s="47">
        <f>SUMIFS(Historias_Backlog!$J$16:$J$47,Historias_Backlog!$E$16:$E$47,B62)</f>
        <v>29</v>
      </c>
      <c r="G62" s="41">
        <f>F62*Resumen_Ejecutivo!$E$23</f>
        <v>116</v>
      </c>
      <c r="H62" s="25">
        <f>G62*Resumen_Ejecutivo!$E$22</f>
        <v>4060000</v>
      </c>
      <c r="I62" s="25">
        <v>0</v>
      </c>
      <c r="J62" s="22">
        <f t="shared" si="15"/>
        <v>4060000</v>
      </c>
      <c r="K62" s="24">
        <f t="shared" si="16"/>
        <v>0.164472351630545</v>
      </c>
      <c r="L62" s="22">
        <f>SUMIFS(Historias_Backlog!$U$16:$U$47,Historias_Backlog!$E$16:$E$47,B62)</f>
        <v>0</v>
      </c>
    </row>
    <row r="63" ht="19" customHeight="1">
      <c r="B63" s="11" t="s">
        <v>258</v>
      </c>
      <c r="C63" s="12" t="s">
        <v>379</v>
      </c>
      <c r="D63" s="12" t="s">
        <v>380</v>
      </c>
      <c r="E63" s="18" t="s">
        <v>381</v>
      </c>
      <c r="F63" s="47">
        <f>SUMIFS(Historias_Backlog!$J$16:$J$47,Historias_Backlog!$E$16:$E$47,B63)</f>
        <v>16</v>
      </c>
      <c r="G63" s="41">
        <f>F63*Resumen_Ejecutivo!$E$23</f>
        <v>64</v>
      </c>
      <c r="H63" s="25">
        <f>G63*Resumen_Ejecutivo!$E$22</f>
        <v>2240000</v>
      </c>
      <c r="I63" s="25">
        <v>0</v>
      </c>
      <c r="J63" s="22">
        <f t="shared" si="15"/>
        <v>2240000</v>
      </c>
      <c r="K63" s="24">
        <f t="shared" si="16"/>
        <v>0.0907433664168523</v>
      </c>
      <c r="L63" s="22">
        <f>SUMIFS(Historias_Backlog!$U$16:$U$47,Historias_Backlog!$E$16:$E$47,B63)</f>
        <v>0</v>
      </c>
    </row>
    <row r="64" ht="19" customHeight="1">
      <c r="B64" s="11" t="s">
        <v>382</v>
      </c>
      <c r="C64" s="12" t="s">
        <v>383</v>
      </c>
      <c r="D64" s="12" t="s">
        <v>384</v>
      </c>
      <c r="E64" s="18" t="s">
        <v>381</v>
      </c>
      <c r="F64" s="47">
        <f>SUMIFS(Historias_Backlog!$J$16:$J$47,Historias_Backlog!$E$16:$E$47,B64)</f>
        <v>14</v>
      </c>
      <c r="G64" s="41">
        <f>F64*Resumen_Ejecutivo!$E$23</f>
        <v>56</v>
      </c>
      <c r="H64" s="25">
        <f>G64*Resumen_Ejecutivo!$E$22</f>
        <v>1960000</v>
      </c>
      <c r="I64" s="25">
        <v>0</v>
      </c>
      <c r="J64" s="22">
        <f t="shared" si="15"/>
        <v>1960000</v>
      </c>
      <c r="K64" s="24">
        <f t="shared" si="16"/>
        <v>0.0794004456147458</v>
      </c>
      <c r="L64" s="22">
        <f>SUMIFS(Historias_Backlog!$U$16:$U$47,Historias_Backlog!$E$16:$E$47,B64)</f>
        <v>0</v>
      </c>
    </row>
    <row r="65" ht="19" customHeight="1">
      <c r="B65" s="11" t="s">
        <v>385</v>
      </c>
      <c r="C65" s="12" t="s">
        <v>386</v>
      </c>
      <c r="D65" s="12" t="s">
        <v>387</v>
      </c>
      <c r="E65" s="18" t="s">
        <v>388</v>
      </c>
      <c r="F65" s="47">
        <f>SUMIFS(Historias_Backlog!$J$16:$J$47,Historias_Backlog!$E$16:$E$47,B65)</f>
        <v>14</v>
      </c>
      <c r="G65" s="41">
        <f>F65*Resumen_Ejecutivo!$E$23</f>
        <v>56</v>
      </c>
      <c r="H65" s="25">
        <f>G65*Resumen_Ejecutivo!$E$22</f>
        <v>1960000</v>
      </c>
      <c r="I65" s="25">
        <v>0</v>
      </c>
      <c r="J65" s="22">
        <f t="shared" si="15"/>
        <v>1960000</v>
      </c>
      <c r="K65" s="24">
        <f t="shared" si="16"/>
        <v>0.0794004456147458</v>
      </c>
      <c r="L65" s="22">
        <f>SUMIFS(Historias_Backlog!$U$16:$U$47,Historias_Backlog!$E$16:$E$47,B65)</f>
        <v>0</v>
      </c>
    </row>
    <row r="66" ht="19" customHeight="1">
      <c r="B66" s="11" t="s">
        <v>389</v>
      </c>
      <c r="C66" s="12" t="s">
        <v>390</v>
      </c>
      <c r="D66" s="12" t="s">
        <v>391</v>
      </c>
      <c r="E66" s="18" t="s">
        <v>388</v>
      </c>
      <c r="F66" s="47">
        <f>SUMIFS(Historias_Backlog!$J$16:$J$47,Historias_Backlog!$E$16:$E$47,B66)</f>
        <v>9</v>
      </c>
      <c r="G66" s="41">
        <f>F66*Resumen_Ejecutivo!$E$23</f>
        <v>36</v>
      </c>
      <c r="H66" s="25">
        <f>G66*Resumen_Ejecutivo!$E$22</f>
        <v>1260000</v>
      </c>
      <c r="I66" s="25">
        <v>0</v>
      </c>
      <c r="J66" s="22">
        <f t="shared" si="15"/>
        <v>1260000</v>
      </c>
      <c r="K66" s="24">
        <f t="shared" si="16"/>
        <v>0.0510431436094794</v>
      </c>
      <c r="L66" s="22">
        <f>SUMIFS(Historias_Backlog!$U$16:$U$47,Historias_Backlog!$E$16:$E$47,B66)</f>
        <v>0</v>
      </c>
    </row>
    <row r="67" ht="19" customHeight="1">
      <c r="B67" s="11" t="s">
        <v>310</v>
      </c>
      <c r="C67" s="12" t="s">
        <v>392</v>
      </c>
      <c r="D67" s="12" t="s">
        <v>393</v>
      </c>
      <c r="E67" s="18" t="s">
        <v>388</v>
      </c>
      <c r="F67" s="47">
        <f>SUMIFS(Historias_Backlog!$J$16:$J$47,Historias_Backlog!$E$16:$E$47,B67)</f>
        <v>5</v>
      </c>
      <c r="G67" s="41">
        <f>F67*Resumen_Ejecutivo!$E$23</f>
        <v>20</v>
      </c>
      <c r="H67" s="25">
        <f>G67*Resumen_Ejecutivo!$E$22</f>
        <v>700000</v>
      </c>
      <c r="I67" s="25">
        <v>0</v>
      </c>
      <c r="J67" s="22">
        <f t="shared" si="15"/>
        <v>700000</v>
      </c>
      <c r="K67" s="24">
        <f t="shared" si="16"/>
        <v>0.0283573020052664</v>
      </c>
      <c r="L67" s="22">
        <f>SUMIFS(Historias_Backlog!$U$16:$U$47,Historias_Backlog!$E$16:$E$47,B67)</f>
        <v>0</v>
      </c>
    </row>
    <row r="68" ht="19" customHeight="1">
      <c r="B68" s="11" t="s">
        <v>265</v>
      </c>
      <c r="C68" s="12" t="s">
        <v>394</v>
      </c>
      <c r="D68" s="12" t="s">
        <v>395</v>
      </c>
      <c r="E68" s="18" t="s">
        <v>388</v>
      </c>
      <c r="F68" s="47">
        <f>SUMIFS(Historias_Backlog!$J$16:$J$47,Historias_Backlog!$E$16:$E$47,B68)</f>
        <v>5</v>
      </c>
      <c r="G68" s="41">
        <f>F68*Resumen_Ejecutivo!$E$23</f>
        <v>20</v>
      </c>
      <c r="H68" s="25">
        <f>G68*Resumen_Ejecutivo!$E$22</f>
        <v>700000</v>
      </c>
      <c r="I68" s="25">
        <f>I25</f>
        <v>1530000</v>
      </c>
      <c r="J68" s="22">
        <f t="shared" si="15"/>
        <v>2230000</v>
      </c>
      <c r="K68" s="24">
        <f t="shared" si="16"/>
        <v>0.0903382621024914</v>
      </c>
      <c r="L68" s="22">
        <f>SUMIFS(Historias_Backlog!$U$16:$U$47,Historias_Backlog!$E$16:$E$47,B68)</f>
        <v>0</v>
      </c>
    </row>
    <row r="69" ht="19" customHeight="1">
      <c r="B69" s="11" t="s">
        <v>348</v>
      </c>
      <c r="C69" s="12" t="s">
        <v>396</v>
      </c>
      <c r="D69" s="12" t="s">
        <v>397</v>
      </c>
      <c r="E69" s="18" t="s">
        <v>388</v>
      </c>
      <c r="F69" s="47">
        <f>SUMIFS(Historias_Backlog!$J$16:$J$47,Historias_Backlog!$E$16:$E$47,B69)</f>
        <v>0</v>
      </c>
      <c r="G69" s="41">
        <f>F69*Resumen_Ejecutivo!$E$23</f>
        <v>0</v>
      </c>
      <c r="H69" s="25">
        <f>G69*Resumen_Ejecutivo!$E$22</f>
        <v>0</v>
      </c>
      <c r="I69" s="25">
        <v>0</v>
      </c>
      <c r="J69" s="22">
        <f t="shared" si="15"/>
        <v>0</v>
      </c>
      <c r="K69" s="24">
        <f t="shared" si="16"/>
        <v>0</v>
      </c>
      <c r="L69" s="22">
        <f>SUMIFS(Historias_Backlog!$U$16:$U$47,Historias_Backlog!$E$16:$E$47,B69)</f>
        <v>0</v>
      </c>
    </row>
    <row r="70" ht="22" customHeight="1">
      <c r="B70" s="29" t="s">
        <v>398</v>
      </c>
      <c r="C70" s="27" t="s">
        <v>399</v>
      </c>
      <c r="D70" s="28"/>
      <c r="E70" s="28"/>
      <c r="F70" s="43">
        <f>SUM(F59:F69)</f>
        <v>150</v>
      </c>
      <c r="G70" s="44">
        <f>SUM(G59:G69)</f>
        <v>600</v>
      </c>
      <c r="H70" s="30">
        <f>SUM(H59:H69)</f>
        <v>21000000</v>
      </c>
      <c r="I70" s="30">
        <f>SUM(I59:I69)</f>
        <v>1530000</v>
      </c>
      <c r="J70" s="30">
        <f>SUM(J59:J69)</f>
        <v>22530000</v>
      </c>
      <c r="K70" s="31">
        <f>SUM(K59:K69)</f>
        <v>0.912700020255216</v>
      </c>
      <c r="L70" s="30">
        <f>SUM(L59:L69)</f>
        <v>0</v>
      </c>
    </row>
  </sheetData>
  <mergeCells count="7">
    <mergeCell ref="B2:L2"/>
    <mergeCell ref="B3:L3"/>
    <mergeCell ref="B5:L5"/>
    <mergeCell ref="B18:L18"/>
    <mergeCell ref="B27:L27"/>
    <mergeCell ref="B38:L38"/>
    <mergeCell ref="B57:L5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pane xSplit="3" ySplit="15" topLeftCell="D16" activePane="bottomRight" state="frozen"/>
      <selection activeCell="A1" activeCellId="0" sqref="A1"/>
    </sheetView>
  </sheetViews>
  <sheetFormatPr baseColWidth="8" defaultRowHeight="14.25"/>
  <cols>
    <col customWidth="1" min="1" max="1" width="3"/>
    <col customWidth="1" min="2" max="2" width="15.28125"/>
    <col customWidth="1" min="3" max="3" width="78.8515625"/>
    <col customWidth="1" min="4" max="4" width="20"/>
    <col customWidth="1" min="5" max="5" width="8"/>
    <col customWidth="1" min="6" max="6" width="12"/>
    <col customWidth="1" min="7" max="7" width="8"/>
    <col customWidth="1" min="8" max="8" width="12"/>
    <col customWidth="1" min="9" max="9" width="14"/>
    <col customWidth="1" min="10" max="10" width="6"/>
    <col customWidth="1" min="11" max="11" width="10"/>
    <col customWidth="1" min="12" max="12" width="8"/>
    <col customWidth="1" min="13" max="16" width="12"/>
    <col customWidth="1" min="17" max="17" width="10"/>
    <col customWidth="1" min="18" max="18" width="18"/>
    <col customWidth="1" min="19" max="20" width="12"/>
    <col customWidth="1" min="21" max="21" width="18"/>
  </cols>
  <sheetData>
    <row r="2" ht="28" customHeight="1">
      <c r="B2" s="1" t="s">
        <v>400</v>
      </c>
    </row>
    <row r="3" ht="18" customHeight="1">
      <c r="B3" s="2" t="s">
        <v>401</v>
      </c>
    </row>
    <row r="5">
      <c r="B5" s="59" t="s">
        <v>402</v>
      </c>
    </row>
    <row r="6" ht="20" customHeight="1">
      <c r="B6" s="9" t="s">
        <v>403</v>
      </c>
      <c r="D6" s="9" t="s">
        <v>404</v>
      </c>
      <c r="E6" s="60" t="s">
        <v>405</v>
      </c>
    </row>
    <row r="7" ht="18" customHeight="1">
      <c r="B7" s="11" t="s">
        <v>406</v>
      </c>
      <c r="D7" s="24">
        <v>1</v>
      </c>
      <c r="E7" s="16" t="s">
        <v>407</v>
      </c>
    </row>
    <row r="8" ht="18" customHeight="1">
      <c r="B8" s="11" t="s">
        <v>408</v>
      </c>
      <c r="D8" s="24">
        <v>0.9</v>
      </c>
      <c r="E8" s="16" t="s">
        <v>409</v>
      </c>
    </row>
    <row r="9" ht="18" customHeight="1">
      <c r="B9" s="11" t="s">
        <v>410</v>
      </c>
      <c r="D9" s="24">
        <v>0.8</v>
      </c>
      <c r="E9" s="16" t="s">
        <v>411</v>
      </c>
    </row>
    <row r="10" ht="18" customHeight="1">
      <c r="B10" s="11" t="s">
        <v>412</v>
      </c>
      <c r="D10" s="24">
        <v>0.5</v>
      </c>
      <c r="E10" s="16" t="s">
        <v>413</v>
      </c>
    </row>
    <row r="11" ht="18" customHeight="1">
      <c r="B11" s="11" t="s">
        <v>414</v>
      </c>
      <c r="D11" s="24">
        <v>0.25</v>
      </c>
      <c r="E11" s="16" t="s">
        <v>415</v>
      </c>
    </row>
    <row r="12" ht="18" customHeight="1">
      <c r="B12" s="11" t="s">
        <v>416</v>
      </c>
      <c r="D12" s="24">
        <v>0.1</v>
      </c>
      <c r="E12" s="16" t="s">
        <v>417</v>
      </c>
    </row>
    <row r="13" ht="18" customHeight="1">
      <c r="B13" s="11" t="s">
        <v>418</v>
      </c>
      <c r="D13" s="24">
        <v>0</v>
      </c>
      <c r="E13" s="16" t="s">
        <v>419</v>
      </c>
    </row>
    <row r="15" ht="24" customHeight="1">
      <c r="B15" s="9" t="s">
        <v>420</v>
      </c>
      <c r="C15" s="9" t="s">
        <v>421</v>
      </c>
      <c r="D15" s="9" t="s">
        <v>422</v>
      </c>
      <c r="E15" s="9" t="s">
        <v>220</v>
      </c>
      <c r="F15" s="9" t="s">
        <v>423</v>
      </c>
      <c r="G15" s="9" t="s">
        <v>424</v>
      </c>
      <c r="H15" s="9" t="s">
        <v>185</v>
      </c>
      <c r="I15" s="9" t="s">
        <v>25</v>
      </c>
      <c r="J15" s="9" t="s">
        <v>49</v>
      </c>
      <c r="K15" s="9" t="s">
        <v>425</v>
      </c>
      <c r="L15" s="9" t="s">
        <v>189</v>
      </c>
      <c r="M15" s="9" t="s">
        <v>426</v>
      </c>
      <c r="N15" s="9" t="s">
        <v>427</v>
      </c>
      <c r="O15" s="9" t="s">
        <v>428</v>
      </c>
      <c r="P15" s="9" t="s">
        <v>429</v>
      </c>
      <c r="Q15" s="9" t="s">
        <v>430</v>
      </c>
      <c r="R15" s="9" t="s">
        <v>218</v>
      </c>
      <c r="S15" s="9" t="s">
        <v>404</v>
      </c>
      <c r="T15" s="9" t="s">
        <v>192</v>
      </c>
      <c r="U15" s="9" t="s">
        <v>431</v>
      </c>
    </row>
    <row r="16" ht="19" customHeight="1">
      <c r="B16" s="11" t="s">
        <v>432</v>
      </c>
      <c r="C16" s="61" t="s">
        <v>433</v>
      </c>
      <c r="D16" s="16" t="s">
        <v>434</v>
      </c>
      <c r="E16" s="39" t="s">
        <v>368</v>
      </c>
      <c r="F16" s="14" t="s">
        <v>435</v>
      </c>
      <c r="G16" s="39" t="s">
        <v>424</v>
      </c>
      <c r="H16" s="18" t="s">
        <v>194</v>
      </c>
      <c r="I16" s="15" t="s">
        <v>406</v>
      </c>
      <c r="J16" s="62">
        <v>2</v>
      </c>
      <c r="K16" s="39" t="s">
        <v>436</v>
      </c>
      <c r="L16" s="63">
        <f>IF(K16="Sí",J16*Resumen_Ejecutivo!$E$23,0)</f>
        <v>8</v>
      </c>
      <c r="M16" s="64">
        <f>L16*Resumen_Ejecutivo!$E$27</f>
        <v>4.4</v>
      </c>
      <c r="N16" s="64">
        <f>L16*Resumen_Ejecutivo!$E$28</f>
        <v>1.6</v>
      </c>
      <c r="O16" s="64">
        <f>L16*Resumen_Ejecutivo!$E$29</f>
        <v>0.8</v>
      </c>
      <c r="P16" s="64">
        <f>L16*Resumen_Ejecutivo!$E$30</f>
        <v>0.8</v>
      </c>
      <c r="Q16" s="64">
        <f>L16*Resumen_Ejecutivo!$E$31</f>
        <v>0.4</v>
      </c>
      <c r="R16" s="22">
        <f>L16*Resumen_Ejecutivo!$E$22</f>
        <v>280000</v>
      </c>
      <c r="S16" s="24">
        <f t="shared" ref="S16:S47" si="17">IFERROR(INDEX($D$7:$D$13,MATCH(I16,$B$7:$B$13,0)),0)</f>
        <v>1</v>
      </c>
      <c r="T16" s="41">
        <f t="shared" ref="T16:T47" si="18">J16*S16</f>
        <v>2</v>
      </c>
      <c r="U16" s="22">
        <f t="shared" ref="U16:U47" si="19">R16*S16</f>
        <v>280000</v>
      </c>
    </row>
    <row r="17" ht="19" customHeight="1">
      <c r="B17" s="11" t="s">
        <v>437</v>
      </c>
      <c r="C17" s="61" t="s">
        <v>438</v>
      </c>
      <c r="D17" s="16" t="s">
        <v>434</v>
      </c>
      <c r="E17" s="39" t="s">
        <v>368</v>
      </c>
      <c r="F17" s="14" t="s">
        <v>435</v>
      </c>
      <c r="G17" s="39" t="s">
        <v>424</v>
      </c>
      <c r="H17" s="18" t="s">
        <v>194</v>
      </c>
      <c r="I17" s="15" t="s">
        <v>406</v>
      </c>
      <c r="J17" s="62">
        <v>5</v>
      </c>
      <c r="K17" s="39" t="s">
        <v>436</v>
      </c>
      <c r="L17" s="63">
        <f>IF(K17="Sí",J17*Resumen_Ejecutivo!$E$23,0)</f>
        <v>20</v>
      </c>
      <c r="M17" s="64">
        <f>L17*Resumen_Ejecutivo!$E$27</f>
        <v>11</v>
      </c>
      <c r="N17" s="64">
        <f>L17*Resumen_Ejecutivo!$E$28</f>
        <v>4</v>
      </c>
      <c r="O17" s="64">
        <f>L17*Resumen_Ejecutivo!$E$29</f>
        <v>2</v>
      </c>
      <c r="P17" s="64">
        <f>L17*Resumen_Ejecutivo!$E$30</f>
        <v>2</v>
      </c>
      <c r="Q17" s="64">
        <f>L17*Resumen_Ejecutivo!$E$31</f>
        <v>1</v>
      </c>
      <c r="R17" s="22">
        <f>L17*Resumen_Ejecutivo!$E$22</f>
        <v>700000</v>
      </c>
      <c r="S17" s="24">
        <f t="shared" si="17"/>
        <v>1</v>
      </c>
      <c r="T17" s="41">
        <f t="shared" si="18"/>
        <v>5</v>
      </c>
      <c r="U17" s="22">
        <f t="shared" si="19"/>
        <v>700000</v>
      </c>
    </row>
    <row r="18" ht="19" customHeight="1">
      <c r="B18" s="11" t="s">
        <v>439</v>
      </c>
      <c r="C18" s="61" t="s">
        <v>440</v>
      </c>
      <c r="D18" s="16" t="s">
        <v>441</v>
      </c>
      <c r="E18" s="39" t="s">
        <v>389</v>
      </c>
      <c r="F18" s="14" t="s">
        <v>435</v>
      </c>
      <c r="G18" s="39" t="s">
        <v>424</v>
      </c>
      <c r="H18" s="18" t="s">
        <v>194</v>
      </c>
      <c r="I18" s="15" t="s">
        <v>406</v>
      </c>
      <c r="J18" s="62">
        <v>5</v>
      </c>
      <c r="K18" s="39" t="s">
        <v>436</v>
      </c>
      <c r="L18" s="63">
        <f>IF(K18="Sí",J18*Resumen_Ejecutivo!$E$23,0)</f>
        <v>20</v>
      </c>
      <c r="M18" s="64">
        <f>L18*Resumen_Ejecutivo!$E$27</f>
        <v>11</v>
      </c>
      <c r="N18" s="64">
        <f>L18*Resumen_Ejecutivo!$E$28</f>
        <v>4</v>
      </c>
      <c r="O18" s="64">
        <f>L18*Resumen_Ejecutivo!$E$29</f>
        <v>2</v>
      </c>
      <c r="P18" s="64">
        <f>L18*Resumen_Ejecutivo!$E$30</f>
        <v>2</v>
      </c>
      <c r="Q18" s="64">
        <f>L18*Resumen_Ejecutivo!$E$31</f>
        <v>1</v>
      </c>
      <c r="R18" s="22">
        <f>L18*Resumen_Ejecutivo!$E$22</f>
        <v>700000</v>
      </c>
      <c r="S18" s="24">
        <f t="shared" si="17"/>
        <v>1</v>
      </c>
      <c r="T18" s="41">
        <f t="shared" si="18"/>
        <v>5</v>
      </c>
      <c r="U18" s="22">
        <f t="shared" si="19"/>
        <v>700000</v>
      </c>
    </row>
    <row r="19" ht="19" customHeight="1">
      <c r="B19" s="11" t="s">
        <v>442</v>
      </c>
      <c r="C19" s="61" t="s">
        <v>443</v>
      </c>
      <c r="D19" s="16" t="s">
        <v>434</v>
      </c>
      <c r="E19" s="39" t="s">
        <v>368</v>
      </c>
      <c r="F19" s="14" t="s">
        <v>435</v>
      </c>
      <c r="G19" s="39" t="s">
        <v>424</v>
      </c>
      <c r="H19" s="18" t="s">
        <v>194</v>
      </c>
      <c r="I19" s="15" t="s">
        <v>406</v>
      </c>
      <c r="J19" s="62">
        <v>5</v>
      </c>
      <c r="K19" s="39" t="s">
        <v>436</v>
      </c>
      <c r="L19" s="63">
        <f>IF(K19="Sí",J19*Resumen_Ejecutivo!$E$23,0)</f>
        <v>20</v>
      </c>
      <c r="M19" s="64">
        <f>L19*Resumen_Ejecutivo!$E$27</f>
        <v>11</v>
      </c>
      <c r="N19" s="64">
        <f>L19*Resumen_Ejecutivo!$E$28</f>
        <v>4</v>
      </c>
      <c r="O19" s="64">
        <f>L19*Resumen_Ejecutivo!$E$29</f>
        <v>2</v>
      </c>
      <c r="P19" s="64">
        <f>L19*Resumen_Ejecutivo!$E$30</f>
        <v>2</v>
      </c>
      <c r="Q19" s="64">
        <f>L19*Resumen_Ejecutivo!$E$31</f>
        <v>1</v>
      </c>
      <c r="R19" s="22">
        <f>L19*Resumen_Ejecutivo!$E$22</f>
        <v>700000</v>
      </c>
      <c r="S19" s="24">
        <f t="shared" si="17"/>
        <v>1</v>
      </c>
      <c r="T19" s="41">
        <f t="shared" si="18"/>
        <v>5</v>
      </c>
      <c r="U19" s="22">
        <f t="shared" si="19"/>
        <v>700000</v>
      </c>
    </row>
    <row r="20" ht="19" customHeight="1">
      <c r="B20" s="11" t="s">
        <v>444</v>
      </c>
      <c r="C20" s="61" t="s">
        <v>445</v>
      </c>
      <c r="D20" s="16" t="s">
        <v>434</v>
      </c>
      <c r="E20" s="39" t="s">
        <v>368</v>
      </c>
      <c r="F20" s="14" t="s">
        <v>435</v>
      </c>
      <c r="G20" s="39" t="s">
        <v>424</v>
      </c>
      <c r="H20" s="18" t="s">
        <v>194</v>
      </c>
      <c r="I20" s="15" t="s">
        <v>406</v>
      </c>
      <c r="J20" s="62">
        <v>5</v>
      </c>
      <c r="K20" s="39" t="s">
        <v>436</v>
      </c>
      <c r="L20" s="63">
        <f>IF(K20="Sí",J20*Resumen_Ejecutivo!$E$23,0)</f>
        <v>20</v>
      </c>
      <c r="M20" s="64">
        <f>L20*Resumen_Ejecutivo!$E$27</f>
        <v>11</v>
      </c>
      <c r="N20" s="64">
        <f>L20*Resumen_Ejecutivo!$E$28</f>
        <v>4</v>
      </c>
      <c r="O20" s="64">
        <f>L20*Resumen_Ejecutivo!$E$29</f>
        <v>2</v>
      </c>
      <c r="P20" s="64">
        <f>L20*Resumen_Ejecutivo!$E$30</f>
        <v>2</v>
      </c>
      <c r="Q20" s="64">
        <f>L20*Resumen_Ejecutivo!$E$31</f>
        <v>1</v>
      </c>
      <c r="R20" s="22">
        <f>L20*Resumen_Ejecutivo!$E$22</f>
        <v>700000</v>
      </c>
      <c r="S20" s="24">
        <f t="shared" si="17"/>
        <v>1</v>
      </c>
      <c r="T20" s="41">
        <f t="shared" si="18"/>
        <v>5</v>
      </c>
      <c r="U20" s="22">
        <f t="shared" si="19"/>
        <v>700000</v>
      </c>
    </row>
    <row r="21" ht="19" customHeight="1">
      <c r="B21" s="11" t="s">
        <v>446</v>
      </c>
      <c r="C21" s="61" t="s">
        <v>447</v>
      </c>
      <c r="D21" s="16" t="s">
        <v>434</v>
      </c>
      <c r="E21" s="39" t="s">
        <v>368</v>
      </c>
      <c r="F21" s="14" t="s">
        <v>435</v>
      </c>
      <c r="G21" s="39" t="s">
        <v>424</v>
      </c>
      <c r="H21" s="18" t="s">
        <v>194</v>
      </c>
      <c r="I21" s="15" t="s">
        <v>406</v>
      </c>
      <c r="J21" s="62">
        <v>3</v>
      </c>
      <c r="K21" s="39" t="s">
        <v>436</v>
      </c>
      <c r="L21" s="63">
        <f>IF(K21="Sí",J21*Resumen_Ejecutivo!$E$23,0)</f>
        <v>12</v>
      </c>
      <c r="M21" s="64">
        <f>L21*Resumen_Ejecutivo!$E$27</f>
        <v>6.6</v>
      </c>
      <c r="N21" s="64">
        <f>L21*Resumen_Ejecutivo!$E$28</f>
        <v>2.4</v>
      </c>
      <c r="O21" s="64">
        <f>L21*Resumen_Ejecutivo!$E$29</f>
        <v>1.2</v>
      </c>
      <c r="P21" s="64">
        <f>L21*Resumen_Ejecutivo!$E$30</f>
        <v>1.2</v>
      </c>
      <c r="Q21" s="64">
        <f>L21*Resumen_Ejecutivo!$E$31</f>
        <v>0.6</v>
      </c>
      <c r="R21" s="22">
        <f>L21*Resumen_Ejecutivo!$E$22</f>
        <v>420000</v>
      </c>
      <c r="S21" s="24">
        <f t="shared" si="17"/>
        <v>1</v>
      </c>
      <c r="T21" s="41">
        <f t="shared" si="18"/>
        <v>3</v>
      </c>
      <c r="U21" s="22">
        <f t="shared" si="19"/>
        <v>420000</v>
      </c>
    </row>
    <row r="22" ht="19" customHeight="1">
      <c r="B22" s="11" t="s">
        <v>448</v>
      </c>
      <c r="C22" s="61" t="s">
        <v>449</v>
      </c>
      <c r="D22" s="16" t="s">
        <v>450</v>
      </c>
      <c r="E22" s="39" t="s">
        <v>375</v>
      </c>
      <c r="F22" s="14" t="s">
        <v>435</v>
      </c>
      <c r="G22" s="39" t="s">
        <v>424</v>
      </c>
      <c r="H22" s="18" t="s">
        <v>194</v>
      </c>
      <c r="I22" s="15" t="s">
        <v>406</v>
      </c>
      <c r="J22" s="62">
        <v>5</v>
      </c>
      <c r="K22" s="39" t="s">
        <v>436</v>
      </c>
      <c r="L22" s="63">
        <f>IF(K22="Sí",J22*Resumen_Ejecutivo!$E$23,0)</f>
        <v>20</v>
      </c>
      <c r="M22" s="64">
        <f>L22*Resumen_Ejecutivo!$E$27</f>
        <v>11</v>
      </c>
      <c r="N22" s="64">
        <f>L22*Resumen_Ejecutivo!$E$28</f>
        <v>4</v>
      </c>
      <c r="O22" s="64">
        <f>L22*Resumen_Ejecutivo!$E$29</f>
        <v>2</v>
      </c>
      <c r="P22" s="64">
        <f>L22*Resumen_Ejecutivo!$E$30</f>
        <v>2</v>
      </c>
      <c r="Q22" s="64">
        <f>L22*Resumen_Ejecutivo!$E$31</f>
        <v>1</v>
      </c>
      <c r="R22" s="22">
        <f>L22*Resumen_Ejecutivo!$E$22</f>
        <v>700000</v>
      </c>
      <c r="S22" s="24">
        <f t="shared" si="17"/>
        <v>1</v>
      </c>
      <c r="T22" s="41">
        <f t="shared" si="18"/>
        <v>5</v>
      </c>
      <c r="U22" s="22">
        <f t="shared" si="19"/>
        <v>700000</v>
      </c>
    </row>
    <row r="23" ht="19" customHeight="1">
      <c r="B23" s="11" t="s">
        <v>451</v>
      </c>
      <c r="C23" s="61" t="s">
        <v>452</v>
      </c>
      <c r="D23" s="16" t="s">
        <v>453</v>
      </c>
      <c r="E23" s="39" t="s">
        <v>249</v>
      </c>
      <c r="F23" s="14" t="s">
        <v>435</v>
      </c>
      <c r="G23" s="39" t="s">
        <v>424</v>
      </c>
      <c r="H23" s="18" t="s">
        <v>197</v>
      </c>
      <c r="I23" s="15" t="s">
        <v>406</v>
      </c>
      <c r="J23" s="62">
        <v>5</v>
      </c>
      <c r="K23" s="39" t="s">
        <v>436</v>
      </c>
      <c r="L23" s="63">
        <f>IF(K23="Sí",J23*Resumen_Ejecutivo!$E$23,0)</f>
        <v>20</v>
      </c>
      <c r="M23" s="64">
        <f>L23*Resumen_Ejecutivo!$E$27</f>
        <v>11</v>
      </c>
      <c r="N23" s="64">
        <f>L23*Resumen_Ejecutivo!$E$28</f>
        <v>4</v>
      </c>
      <c r="O23" s="64">
        <f>L23*Resumen_Ejecutivo!$E$29</f>
        <v>2</v>
      </c>
      <c r="P23" s="64">
        <f>L23*Resumen_Ejecutivo!$E$30</f>
        <v>2</v>
      </c>
      <c r="Q23" s="64">
        <f>L23*Resumen_Ejecutivo!$E$31</f>
        <v>1</v>
      </c>
      <c r="R23" s="22">
        <f>L23*Resumen_Ejecutivo!$E$22</f>
        <v>700000</v>
      </c>
      <c r="S23" s="24">
        <f t="shared" si="17"/>
        <v>1</v>
      </c>
      <c r="T23" s="41">
        <f t="shared" si="18"/>
        <v>5</v>
      </c>
      <c r="U23" s="22">
        <f t="shared" si="19"/>
        <v>700000</v>
      </c>
    </row>
    <row r="24" ht="19" customHeight="1">
      <c r="B24" s="11" t="s">
        <v>454</v>
      </c>
      <c r="C24" s="61" t="s">
        <v>455</v>
      </c>
      <c r="D24" s="16" t="s">
        <v>453</v>
      </c>
      <c r="E24" s="39" t="s">
        <v>249</v>
      </c>
      <c r="F24" s="14" t="s">
        <v>435</v>
      </c>
      <c r="G24" s="39" t="s">
        <v>424</v>
      </c>
      <c r="H24" s="18" t="s">
        <v>197</v>
      </c>
      <c r="I24" s="15" t="s">
        <v>406</v>
      </c>
      <c r="J24" s="62">
        <v>8</v>
      </c>
      <c r="K24" s="39" t="s">
        <v>436</v>
      </c>
      <c r="L24" s="63">
        <f>IF(K24="Sí",J24*Resumen_Ejecutivo!$E$23,0)</f>
        <v>32</v>
      </c>
      <c r="M24" s="64">
        <f>L24*Resumen_Ejecutivo!$E$27</f>
        <v>17.6</v>
      </c>
      <c r="N24" s="64">
        <f>L24*Resumen_Ejecutivo!$E$28</f>
        <v>6.4</v>
      </c>
      <c r="O24" s="64">
        <f>L24*Resumen_Ejecutivo!$E$29</f>
        <v>3.2</v>
      </c>
      <c r="P24" s="64">
        <f>L24*Resumen_Ejecutivo!$E$30</f>
        <v>3.2</v>
      </c>
      <c r="Q24" s="64">
        <f>L24*Resumen_Ejecutivo!$E$31</f>
        <v>1.6</v>
      </c>
      <c r="R24" s="22">
        <f>L24*Resumen_Ejecutivo!$E$22</f>
        <v>1120000</v>
      </c>
      <c r="S24" s="24">
        <f t="shared" si="17"/>
        <v>1</v>
      </c>
      <c r="T24" s="41">
        <f t="shared" si="18"/>
        <v>8</v>
      </c>
      <c r="U24" s="22">
        <f t="shared" si="19"/>
        <v>1120000</v>
      </c>
    </row>
    <row r="25" ht="19" customHeight="1">
      <c r="B25" s="11" t="s">
        <v>456</v>
      </c>
      <c r="C25" s="61" t="s">
        <v>457</v>
      </c>
      <c r="D25" s="16" t="s">
        <v>453</v>
      </c>
      <c r="E25" s="39" t="s">
        <v>249</v>
      </c>
      <c r="F25" s="14" t="s">
        <v>435</v>
      </c>
      <c r="G25" s="39" t="s">
        <v>424</v>
      </c>
      <c r="H25" s="18" t="s">
        <v>197</v>
      </c>
      <c r="I25" s="15" t="s">
        <v>406</v>
      </c>
      <c r="J25" s="62">
        <v>5</v>
      </c>
      <c r="K25" s="39" t="s">
        <v>436</v>
      </c>
      <c r="L25" s="63">
        <f>IF(K25="Sí",J25*Resumen_Ejecutivo!$E$23,0)</f>
        <v>20</v>
      </c>
      <c r="M25" s="64">
        <f>L25*Resumen_Ejecutivo!$E$27</f>
        <v>11</v>
      </c>
      <c r="N25" s="64">
        <f>L25*Resumen_Ejecutivo!$E$28</f>
        <v>4</v>
      </c>
      <c r="O25" s="64">
        <f>L25*Resumen_Ejecutivo!$E$29</f>
        <v>2</v>
      </c>
      <c r="P25" s="64">
        <f>L25*Resumen_Ejecutivo!$E$30</f>
        <v>2</v>
      </c>
      <c r="Q25" s="64">
        <f>L25*Resumen_Ejecutivo!$E$31</f>
        <v>1</v>
      </c>
      <c r="R25" s="22">
        <f>L25*Resumen_Ejecutivo!$E$22</f>
        <v>700000</v>
      </c>
      <c r="S25" s="24">
        <f t="shared" si="17"/>
        <v>1</v>
      </c>
      <c r="T25" s="41">
        <f t="shared" si="18"/>
        <v>5</v>
      </c>
      <c r="U25" s="22">
        <f t="shared" si="19"/>
        <v>700000</v>
      </c>
    </row>
    <row r="26" ht="19" customHeight="1">
      <c r="B26" s="11" t="s">
        <v>458</v>
      </c>
      <c r="C26" s="61" t="s">
        <v>459</v>
      </c>
      <c r="D26" s="16" t="s">
        <v>453</v>
      </c>
      <c r="E26" s="39" t="s">
        <v>249</v>
      </c>
      <c r="F26" s="14" t="s">
        <v>435</v>
      </c>
      <c r="G26" s="39" t="s">
        <v>424</v>
      </c>
      <c r="H26" s="18" t="s">
        <v>197</v>
      </c>
      <c r="I26" s="15" t="s">
        <v>406</v>
      </c>
      <c r="J26" s="62">
        <v>4</v>
      </c>
      <c r="K26" s="39" t="s">
        <v>436</v>
      </c>
      <c r="L26" s="63">
        <f>IF(K26="Sí",J26*Resumen_Ejecutivo!$E$23,0)</f>
        <v>16</v>
      </c>
      <c r="M26" s="64">
        <f>L26*Resumen_Ejecutivo!$E$27</f>
        <v>8.8</v>
      </c>
      <c r="N26" s="64">
        <f>L26*Resumen_Ejecutivo!$E$28</f>
        <v>3.2</v>
      </c>
      <c r="O26" s="64">
        <f>L26*Resumen_Ejecutivo!$E$29</f>
        <v>1.6</v>
      </c>
      <c r="P26" s="64">
        <f>L26*Resumen_Ejecutivo!$E$30</f>
        <v>1.6</v>
      </c>
      <c r="Q26" s="64">
        <f>L26*Resumen_Ejecutivo!$E$31</f>
        <v>0.8</v>
      </c>
      <c r="R26" s="22">
        <f>L26*Resumen_Ejecutivo!$E$22</f>
        <v>560000</v>
      </c>
      <c r="S26" s="24">
        <f t="shared" si="17"/>
        <v>1</v>
      </c>
      <c r="T26" s="41">
        <f t="shared" si="18"/>
        <v>4</v>
      </c>
      <c r="U26" s="22">
        <f t="shared" si="19"/>
        <v>560000</v>
      </c>
    </row>
    <row r="27" ht="19" customHeight="1">
      <c r="B27" s="11" t="s">
        <v>460</v>
      </c>
      <c r="C27" s="61" t="s">
        <v>461</v>
      </c>
      <c r="D27" s="16" t="s">
        <v>453</v>
      </c>
      <c r="E27" s="39" t="s">
        <v>249</v>
      </c>
      <c r="F27" s="14" t="s">
        <v>435</v>
      </c>
      <c r="G27" s="39" t="s">
        <v>424</v>
      </c>
      <c r="H27" s="18" t="s">
        <v>197</v>
      </c>
      <c r="I27" s="15" t="s">
        <v>406</v>
      </c>
      <c r="J27" s="62">
        <v>5</v>
      </c>
      <c r="K27" s="39" t="s">
        <v>436</v>
      </c>
      <c r="L27" s="63">
        <f>IF(K27="Sí",J27*Resumen_Ejecutivo!$E$23,0)</f>
        <v>20</v>
      </c>
      <c r="M27" s="64">
        <f>L27*Resumen_Ejecutivo!$E$27</f>
        <v>11</v>
      </c>
      <c r="N27" s="64">
        <f>L27*Resumen_Ejecutivo!$E$28</f>
        <v>4</v>
      </c>
      <c r="O27" s="64">
        <f>L27*Resumen_Ejecutivo!$E$29</f>
        <v>2</v>
      </c>
      <c r="P27" s="64">
        <f>L27*Resumen_Ejecutivo!$E$30</f>
        <v>2</v>
      </c>
      <c r="Q27" s="64">
        <f>L27*Resumen_Ejecutivo!$E$31</f>
        <v>1</v>
      </c>
      <c r="R27" s="22">
        <f>L27*Resumen_Ejecutivo!$E$22</f>
        <v>700000</v>
      </c>
      <c r="S27" s="24">
        <f t="shared" si="17"/>
        <v>1</v>
      </c>
      <c r="T27" s="41">
        <f t="shared" si="18"/>
        <v>5</v>
      </c>
      <c r="U27" s="22">
        <f t="shared" si="19"/>
        <v>700000</v>
      </c>
    </row>
    <row r="28" ht="19" customHeight="1">
      <c r="B28" s="11" t="s">
        <v>462</v>
      </c>
      <c r="C28" s="61" t="s">
        <v>463</v>
      </c>
      <c r="D28" s="16" t="s">
        <v>453</v>
      </c>
      <c r="E28" s="39" t="s">
        <v>249</v>
      </c>
      <c r="F28" s="14" t="s">
        <v>464</v>
      </c>
      <c r="G28" s="39" t="s">
        <v>424</v>
      </c>
      <c r="H28" s="18" t="s">
        <v>197</v>
      </c>
      <c r="I28" s="15" t="s">
        <v>406</v>
      </c>
      <c r="J28" s="62">
        <v>3</v>
      </c>
      <c r="K28" s="39" t="s">
        <v>436</v>
      </c>
      <c r="L28" s="63">
        <f>IF(K28="Sí",J28*Resumen_Ejecutivo!$E$23,0)</f>
        <v>12</v>
      </c>
      <c r="M28" s="64">
        <f>L28*Resumen_Ejecutivo!$E$27</f>
        <v>6.6</v>
      </c>
      <c r="N28" s="64">
        <f>L28*Resumen_Ejecutivo!$E$28</f>
        <v>2.4</v>
      </c>
      <c r="O28" s="64">
        <f>L28*Resumen_Ejecutivo!$E$29</f>
        <v>1.2</v>
      </c>
      <c r="P28" s="64">
        <f>L28*Resumen_Ejecutivo!$E$30</f>
        <v>1.2</v>
      </c>
      <c r="Q28" s="64">
        <f>L28*Resumen_Ejecutivo!$E$31</f>
        <v>0.6</v>
      </c>
      <c r="R28" s="22">
        <f>L28*Resumen_Ejecutivo!$E$22</f>
        <v>420000</v>
      </c>
      <c r="S28" s="24">
        <f t="shared" si="17"/>
        <v>1</v>
      </c>
      <c r="T28" s="41">
        <f t="shared" si="18"/>
        <v>3</v>
      </c>
      <c r="U28" s="22">
        <f t="shared" si="19"/>
        <v>420000</v>
      </c>
    </row>
    <row r="29" ht="19" customHeight="1">
      <c r="B29" s="11" t="s">
        <v>465</v>
      </c>
      <c r="C29" s="61" t="s">
        <v>466</v>
      </c>
      <c r="D29" s="16" t="s">
        <v>453</v>
      </c>
      <c r="E29" s="39" t="s">
        <v>249</v>
      </c>
      <c r="F29" s="14" t="s">
        <v>435</v>
      </c>
      <c r="G29" s="39" t="s">
        <v>424</v>
      </c>
      <c r="H29" s="18" t="s">
        <v>200</v>
      </c>
      <c r="I29" s="15" t="s">
        <v>406</v>
      </c>
      <c r="J29" s="62">
        <v>8</v>
      </c>
      <c r="K29" s="39" t="s">
        <v>436</v>
      </c>
      <c r="L29" s="63">
        <f>IF(K29="Sí",J29*Resumen_Ejecutivo!$E$23,0)</f>
        <v>32</v>
      </c>
      <c r="M29" s="64">
        <f>L29*Resumen_Ejecutivo!$E$27</f>
        <v>17.6</v>
      </c>
      <c r="N29" s="64">
        <f>L29*Resumen_Ejecutivo!$E$28</f>
        <v>6.4</v>
      </c>
      <c r="O29" s="64">
        <f>L29*Resumen_Ejecutivo!$E$29</f>
        <v>3.2</v>
      </c>
      <c r="P29" s="64">
        <f>L29*Resumen_Ejecutivo!$E$30</f>
        <v>3.2</v>
      </c>
      <c r="Q29" s="64">
        <f>L29*Resumen_Ejecutivo!$E$31</f>
        <v>1.6</v>
      </c>
      <c r="R29" s="22">
        <f>L29*Resumen_Ejecutivo!$E$22</f>
        <v>1120000</v>
      </c>
      <c r="S29" s="24">
        <f t="shared" si="17"/>
        <v>1</v>
      </c>
      <c r="T29" s="41">
        <f t="shared" si="18"/>
        <v>8</v>
      </c>
      <c r="U29" s="22">
        <f t="shared" si="19"/>
        <v>1120000</v>
      </c>
    </row>
    <row r="30" ht="19" customHeight="1">
      <c r="B30" s="11" t="s">
        <v>467</v>
      </c>
      <c r="C30" s="61" t="s">
        <v>468</v>
      </c>
      <c r="D30" s="16" t="s">
        <v>450</v>
      </c>
      <c r="E30" s="39" t="s">
        <v>375</v>
      </c>
      <c r="F30" s="14" t="s">
        <v>435</v>
      </c>
      <c r="G30" s="39" t="s">
        <v>424</v>
      </c>
      <c r="H30" s="18" t="s">
        <v>200</v>
      </c>
      <c r="I30" s="18" t="s">
        <v>408</v>
      </c>
      <c r="J30" s="62">
        <v>8</v>
      </c>
      <c r="K30" s="39" t="s">
        <v>436</v>
      </c>
      <c r="L30" s="63">
        <f>IF(K30="Sí",J30*Resumen_Ejecutivo!$E$23,0)</f>
        <v>32</v>
      </c>
      <c r="M30" s="64">
        <f>L30*Resumen_Ejecutivo!$E$27</f>
        <v>17.6</v>
      </c>
      <c r="N30" s="64">
        <f>L30*Resumen_Ejecutivo!$E$28</f>
        <v>6.4</v>
      </c>
      <c r="O30" s="64">
        <f>L30*Resumen_Ejecutivo!$E$29</f>
        <v>3.2</v>
      </c>
      <c r="P30" s="64">
        <f>L30*Resumen_Ejecutivo!$E$30</f>
        <v>3.2</v>
      </c>
      <c r="Q30" s="64">
        <f>L30*Resumen_Ejecutivo!$E$31</f>
        <v>1.6</v>
      </c>
      <c r="R30" s="22">
        <f>L30*Resumen_Ejecutivo!$E$22</f>
        <v>1120000</v>
      </c>
      <c r="S30" s="24">
        <f t="shared" si="17"/>
        <v>0.9</v>
      </c>
      <c r="T30" s="41">
        <f t="shared" si="18"/>
        <v>7.2</v>
      </c>
      <c r="U30" s="22">
        <f t="shared" si="19"/>
        <v>1008000</v>
      </c>
    </row>
    <row r="31" ht="19" customHeight="1">
      <c r="B31" s="11" t="s">
        <v>469</v>
      </c>
      <c r="C31" s="61" t="s">
        <v>470</v>
      </c>
      <c r="D31" s="16" t="s">
        <v>450</v>
      </c>
      <c r="E31" s="39" t="s">
        <v>375</v>
      </c>
      <c r="F31" s="14" t="s">
        <v>435</v>
      </c>
      <c r="G31" s="39" t="s">
        <v>424</v>
      </c>
      <c r="H31" s="18" t="s">
        <v>200</v>
      </c>
      <c r="I31" s="18" t="s">
        <v>410</v>
      </c>
      <c r="J31" s="62">
        <v>5</v>
      </c>
      <c r="K31" s="39" t="s">
        <v>436</v>
      </c>
      <c r="L31" s="63">
        <f>IF(K31="Sí",J31*Resumen_Ejecutivo!$E$23,0)</f>
        <v>20</v>
      </c>
      <c r="M31" s="64">
        <f>L31*Resumen_Ejecutivo!$E$27</f>
        <v>11</v>
      </c>
      <c r="N31" s="64">
        <f>L31*Resumen_Ejecutivo!$E$28</f>
        <v>4</v>
      </c>
      <c r="O31" s="64">
        <f>L31*Resumen_Ejecutivo!$E$29</f>
        <v>2</v>
      </c>
      <c r="P31" s="64">
        <f>L31*Resumen_Ejecutivo!$E$30</f>
        <v>2</v>
      </c>
      <c r="Q31" s="64">
        <f>L31*Resumen_Ejecutivo!$E$31</f>
        <v>1</v>
      </c>
      <c r="R31" s="22">
        <f>L31*Resumen_Ejecutivo!$E$22</f>
        <v>700000</v>
      </c>
      <c r="S31" s="24">
        <f t="shared" si="17"/>
        <v>0.8</v>
      </c>
      <c r="T31" s="41">
        <f t="shared" si="18"/>
        <v>4</v>
      </c>
      <c r="U31" s="22">
        <f t="shared" si="19"/>
        <v>560000</v>
      </c>
    </row>
    <row r="32" ht="19" customHeight="1">
      <c r="B32" s="11" t="s">
        <v>471</v>
      </c>
      <c r="C32" s="61" t="s">
        <v>472</v>
      </c>
      <c r="D32" s="16" t="s">
        <v>450</v>
      </c>
      <c r="E32" s="39" t="s">
        <v>375</v>
      </c>
      <c r="F32" s="14" t="s">
        <v>435</v>
      </c>
      <c r="G32" s="39" t="s">
        <v>424</v>
      </c>
      <c r="H32" s="18" t="s">
        <v>200</v>
      </c>
      <c r="I32" s="18" t="s">
        <v>410</v>
      </c>
      <c r="J32" s="62">
        <v>5</v>
      </c>
      <c r="K32" s="39" t="s">
        <v>436</v>
      </c>
      <c r="L32" s="63">
        <f>IF(K32="Sí",J32*Resumen_Ejecutivo!$E$23,0)</f>
        <v>20</v>
      </c>
      <c r="M32" s="64">
        <f>L32*Resumen_Ejecutivo!$E$27</f>
        <v>11</v>
      </c>
      <c r="N32" s="64">
        <f>L32*Resumen_Ejecutivo!$E$28</f>
        <v>4</v>
      </c>
      <c r="O32" s="64">
        <f>L32*Resumen_Ejecutivo!$E$29</f>
        <v>2</v>
      </c>
      <c r="P32" s="64">
        <f>L32*Resumen_Ejecutivo!$E$30</f>
        <v>2</v>
      </c>
      <c r="Q32" s="64">
        <f>L32*Resumen_Ejecutivo!$E$31</f>
        <v>1</v>
      </c>
      <c r="R32" s="22">
        <f>L32*Resumen_Ejecutivo!$E$22</f>
        <v>700000</v>
      </c>
      <c r="S32" s="24">
        <f t="shared" si="17"/>
        <v>0.8</v>
      </c>
      <c r="T32" s="41">
        <f t="shared" si="18"/>
        <v>4</v>
      </c>
      <c r="U32" s="22">
        <f t="shared" si="19"/>
        <v>560000</v>
      </c>
    </row>
    <row r="33" ht="19" customHeight="1">
      <c r="B33" s="11" t="s">
        <v>473</v>
      </c>
      <c r="C33" s="61" t="s">
        <v>474</v>
      </c>
      <c r="D33" s="16" t="s">
        <v>450</v>
      </c>
      <c r="E33" s="39" t="s">
        <v>375</v>
      </c>
      <c r="F33" s="14" t="s">
        <v>435</v>
      </c>
      <c r="G33" s="39" t="s">
        <v>424</v>
      </c>
      <c r="H33" s="18" t="s">
        <v>200</v>
      </c>
      <c r="I33" s="18" t="s">
        <v>412</v>
      </c>
      <c r="J33" s="62">
        <v>6</v>
      </c>
      <c r="K33" s="39" t="s">
        <v>436</v>
      </c>
      <c r="L33" s="63">
        <f>IF(K33="Sí",J33*Resumen_Ejecutivo!$E$23,0)</f>
        <v>24</v>
      </c>
      <c r="M33" s="64">
        <f>L33*Resumen_Ejecutivo!$E$27</f>
        <v>13.2</v>
      </c>
      <c r="N33" s="64">
        <f>L33*Resumen_Ejecutivo!$E$28</f>
        <v>4.8</v>
      </c>
      <c r="O33" s="64">
        <f>L33*Resumen_Ejecutivo!$E$29</f>
        <v>2.4</v>
      </c>
      <c r="P33" s="64">
        <f>L33*Resumen_Ejecutivo!$E$30</f>
        <v>2.4</v>
      </c>
      <c r="Q33" s="64">
        <f>L33*Resumen_Ejecutivo!$E$31</f>
        <v>1.2</v>
      </c>
      <c r="R33" s="22">
        <f>L33*Resumen_Ejecutivo!$E$22</f>
        <v>840000</v>
      </c>
      <c r="S33" s="24">
        <f t="shared" si="17"/>
        <v>0.5</v>
      </c>
      <c r="T33" s="41">
        <f t="shared" si="18"/>
        <v>3</v>
      </c>
      <c r="U33" s="22">
        <f t="shared" si="19"/>
        <v>420000</v>
      </c>
    </row>
    <row r="34" ht="19" customHeight="1">
      <c r="B34" s="11" t="s">
        <v>475</v>
      </c>
      <c r="C34" s="61" t="s">
        <v>476</v>
      </c>
      <c r="D34" s="16" t="s">
        <v>477</v>
      </c>
      <c r="E34" s="39" t="s">
        <v>382</v>
      </c>
      <c r="F34" s="14" t="s">
        <v>435</v>
      </c>
      <c r="G34" s="39" t="s">
        <v>424</v>
      </c>
      <c r="H34" s="18" t="s">
        <v>203</v>
      </c>
      <c r="I34" s="18" t="s">
        <v>416</v>
      </c>
      <c r="J34" s="62">
        <v>5</v>
      </c>
      <c r="K34" s="39" t="s">
        <v>436</v>
      </c>
      <c r="L34" s="63">
        <f>IF(K34="Sí",J34*Resumen_Ejecutivo!$E$23,0)</f>
        <v>20</v>
      </c>
      <c r="M34" s="64">
        <f>L34*Resumen_Ejecutivo!$E$27</f>
        <v>11</v>
      </c>
      <c r="N34" s="64">
        <f>L34*Resumen_Ejecutivo!$E$28</f>
        <v>4</v>
      </c>
      <c r="O34" s="64">
        <f>L34*Resumen_Ejecutivo!$E$29</f>
        <v>2</v>
      </c>
      <c r="P34" s="64">
        <f>L34*Resumen_Ejecutivo!$E$30</f>
        <v>2</v>
      </c>
      <c r="Q34" s="64">
        <f>L34*Resumen_Ejecutivo!$E$31</f>
        <v>1</v>
      </c>
      <c r="R34" s="22">
        <f>L34*Resumen_Ejecutivo!$E$22</f>
        <v>700000</v>
      </c>
      <c r="S34" s="24">
        <f t="shared" si="17"/>
        <v>0.1</v>
      </c>
      <c r="T34" s="41">
        <f t="shared" si="18"/>
        <v>0.5</v>
      </c>
      <c r="U34" s="22">
        <f t="shared" si="19"/>
        <v>70000</v>
      </c>
    </row>
    <row r="35" ht="19" customHeight="1">
      <c r="B35" s="11" t="s">
        <v>478</v>
      </c>
      <c r="C35" s="61" t="s">
        <v>479</v>
      </c>
      <c r="D35" s="16" t="s">
        <v>477</v>
      </c>
      <c r="E35" s="39" t="s">
        <v>382</v>
      </c>
      <c r="F35" s="14" t="s">
        <v>435</v>
      </c>
      <c r="G35" s="39" t="s">
        <v>424</v>
      </c>
      <c r="H35" s="18" t="s">
        <v>203</v>
      </c>
      <c r="I35" s="18" t="s">
        <v>416</v>
      </c>
      <c r="J35" s="62">
        <v>5</v>
      </c>
      <c r="K35" s="39" t="s">
        <v>436</v>
      </c>
      <c r="L35" s="63">
        <f>IF(K35="Sí",J35*Resumen_Ejecutivo!$E$23,0)</f>
        <v>20</v>
      </c>
      <c r="M35" s="64">
        <f>L35*Resumen_Ejecutivo!$E$27</f>
        <v>11</v>
      </c>
      <c r="N35" s="64">
        <f>L35*Resumen_Ejecutivo!$E$28</f>
        <v>4</v>
      </c>
      <c r="O35" s="64">
        <f>L35*Resumen_Ejecutivo!$E$29</f>
        <v>2</v>
      </c>
      <c r="P35" s="64">
        <f>L35*Resumen_Ejecutivo!$E$30</f>
        <v>2</v>
      </c>
      <c r="Q35" s="64">
        <f>L35*Resumen_Ejecutivo!$E$31</f>
        <v>1</v>
      </c>
      <c r="R35" s="22">
        <f>L35*Resumen_Ejecutivo!$E$22</f>
        <v>700000</v>
      </c>
      <c r="S35" s="24">
        <f t="shared" si="17"/>
        <v>0.1</v>
      </c>
      <c r="T35" s="41">
        <f t="shared" si="18"/>
        <v>0.5</v>
      </c>
      <c r="U35" s="22">
        <f t="shared" si="19"/>
        <v>70000</v>
      </c>
    </row>
    <row r="36" ht="19" customHeight="1">
      <c r="B36" s="11" t="s">
        <v>480</v>
      </c>
      <c r="C36" s="61" t="s">
        <v>481</v>
      </c>
      <c r="D36" s="16" t="s">
        <v>477</v>
      </c>
      <c r="E36" s="39" t="s">
        <v>382</v>
      </c>
      <c r="F36" s="14" t="s">
        <v>464</v>
      </c>
      <c r="G36" s="39" t="s">
        <v>424</v>
      </c>
      <c r="H36" s="18" t="s">
        <v>203</v>
      </c>
      <c r="I36" s="18" t="s">
        <v>416</v>
      </c>
      <c r="J36" s="62">
        <v>4</v>
      </c>
      <c r="K36" s="39" t="s">
        <v>436</v>
      </c>
      <c r="L36" s="63">
        <f>IF(K36="Sí",J36*Resumen_Ejecutivo!$E$23,0)</f>
        <v>16</v>
      </c>
      <c r="M36" s="64">
        <f>L36*Resumen_Ejecutivo!$E$27</f>
        <v>8.8</v>
      </c>
      <c r="N36" s="64">
        <f>L36*Resumen_Ejecutivo!$E$28</f>
        <v>3.2</v>
      </c>
      <c r="O36" s="64">
        <f>L36*Resumen_Ejecutivo!$E$29</f>
        <v>1.6</v>
      </c>
      <c r="P36" s="64">
        <f>L36*Resumen_Ejecutivo!$E$30</f>
        <v>1.6</v>
      </c>
      <c r="Q36" s="64">
        <f>L36*Resumen_Ejecutivo!$E$31</f>
        <v>0.8</v>
      </c>
      <c r="R36" s="22">
        <f>L36*Resumen_Ejecutivo!$E$22</f>
        <v>560000</v>
      </c>
      <c r="S36" s="24">
        <f t="shared" si="17"/>
        <v>0.1</v>
      </c>
      <c r="T36" s="41">
        <f t="shared" si="18"/>
        <v>0.4</v>
      </c>
      <c r="U36" s="22">
        <f t="shared" si="19"/>
        <v>56000</v>
      </c>
    </row>
    <row r="37" ht="19" customHeight="1">
      <c r="B37" s="11" t="s">
        <v>482</v>
      </c>
      <c r="C37" s="61" t="s">
        <v>483</v>
      </c>
      <c r="D37" s="16" t="s">
        <v>484</v>
      </c>
      <c r="E37" s="39" t="s">
        <v>258</v>
      </c>
      <c r="F37" s="14" t="s">
        <v>435</v>
      </c>
      <c r="G37" s="39" t="s">
        <v>424</v>
      </c>
      <c r="H37" s="18" t="s">
        <v>203</v>
      </c>
      <c r="I37" s="18" t="s">
        <v>416</v>
      </c>
      <c r="J37" s="62">
        <v>5</v>
      </c>
      <c r="K37" s="39" t="s">
        <v>436</v>
      </c>
      <c r="L37" s="63">
        <f>IF(K37="Sí",J37*Resumen_Ejecutivo!$E$23,0)</f>
        <v>20</v>
      </c>
      <c r="M37" s="64">
        <f>L37*Resumen_Ejecutivo!$E$27</f>
        <v>11</v>
      </c>
      <c r="N37" s="64">
        <f>L37*Resumen_Ejecutivo!$E$28</f>
        <v>4</v>
      </c>
      <c r="O37" s="64">
        <f>L37*Resumen_Ejecutivo!$E$29</f>
        <v>2</v>
      </c>
      <c r="P37" s="64">
        <f>L37*Resumen_Ejecutivo!$E$30</f>
        <v>2</v>
      </c>
      <c r="Q37" s="64">
        <f>L37*Resumen_Ejecutivo!$E$31</f>
        <v>1</v>
      </c>
      <c r="R37" s="22">
        <f>L37*Resumen_Ejecutivo!$E$22</f>
        <v>700000</v>
      </c>
      <c r="S37" s="24">
        <f t="shared" si="17"/>
        <v>0.1</v>
      </c>
      <c r="T37" s="41">
        <f t="shared" si="18"/>
        <v>0.5</v>
      </c>
      <c r="U37" s="22">
        <f t="shared" si="19"/>
        <v>70000</v>
      </c>
    </row>
    <row r="38" ht="19" customHeight="1">
      <c r="B38" s="11" t="s">
        <v>485</v>
      </c>
      <c r="C38" s="61" t="s">
        <v>486</v>
      </c>
      <c r="D38" s="16" t="s">
        <v>484</v>
      </c>
      <c r="E38" s="39" t="s">
        <v>258</v>
      </c>
      <c r="F38" s="14" t="s">
        <v>435</v>
      </c>
      <c r="G38" s="39" t="s">
        <v>424</v>
      </c>
      <c r="H38" s="18" t="s">
        <v>203</v>
      </c>
      <c r="I38" s="18" t="s">
        <v>416</v>
      </c>
      <c r="J38" s="62">
        <v>4</v>
      </c>
      <c r="K38" s="39" t="s">
        <v>436</v>
      </c>
      <c r="L38" s="63">
        <f>IF(K38="Sí",J38*Resumen_Ejecutivo!$E$23,0)</f>
        <v>16</v>
      </c>
      <c r="M38" s="64">
        <f>L38*Resumen_Ejecutivo!$E$27</f>
        <v>8.8</v>
      </c>
      <c r="N38" s="64">
        <f>L38*Resumen_Ejecutivo!$E$28</f>
        <v>3.2</v>
      </c>
      <c r="O38" s="64">
        <f>L38*Resumen_Ejecutivo!$E$29</f>
        <v>1.6</v>
      </c>
      <c r="P38" s="64">
        <f>L38*Resumen_Ejecutivo!$E$30</f>
        <v>1.6</v>
      </c>
      <c r="Q38" s="64">
        <f>L38*Resumen_Ejecutivo!$E$31</f>
        <v>0.8</v>
      </c>
      <c r="R38" s="22">
        <f>L38*Resumen_Ejecutivo!$E$22</f>
        <v>560000</v>
      </c>
      <c r="S38" s="24">
        <f t="shared" si="17"/>
        <v>0.1</v>
      </c>
      <c r="T38" s="41">
        <f t="shared" si="18"/>
        <v>0.4</v>
      </c>
      <c r="U38" s="22">
        <f t="shared" si="19"/>
        <v>56000</v>
      </c>
    </row>
    <row r="39" ht="19" customHeight="1">
      <c r="B39" s="11" t="s">
        <v>487</v>
      </c>
      <c r="C39" s="61" t="s">
        <v>488</v>
      </c>
      <c r="D39" s="16" t="s">
        <v>484</v>
      </c>
      <c r="E39" s="39" t="s">
        <v>258</v>
      </c>
      <c r="F39" s="14" t="s">
        <v>435</v>
      </c>
      <c r="G39" s="39" t="s">
        <v>424</v>
      </c>
      <c r="H39" s="18" t="s">
        <v>203</v>
      </c>
      <c r="I39" s="18" t="s">
        <v>416</v>
      </c>
      <c r="J39" s="62">
        <v>4</v>
      </c>
      <c r="K39" s="39" t="s">
        <v>436</v>
      </c>
      <c r="L39" s="63">
        <f>IF(K39="Sí",J39*Resumen_Ejecutivo!$E$23,0)</f>
        <v>16</v>
      </c>
      <c r="M39" s="64">
        <f>L39*Resumen_Ejecutivo!$E$27</f>
        <v>8.8</v>
      </c>
      <c r="N39" s="64">
        <f>L39*Resumen_Ejecutivo!$E$28</f>
        <v>3.2</v>
      </c>
      <c r="O39" s="64">
        <f>L39*Resumen_Ejecutivo!$E$29</f>
        <v>1.6</v>
      </c>
      <c r="P39" s="64">
        <f>L39*Resumen_Ejecutivo!$E$30</f>
        <v>1.6</v>
      </c>
      <c r="Q39" s="64">
        <f>L39*Resumen_Ejecutivo!$E$31</f>
        <v>0.8</v>
      </c>
      <c r="R39" s="22">
        <f>L39*Resumen_Ejecutivo!$E$22</f>
        <v>560000</v>
      </c>
      <c r="S39" s="24">
        <f t="shared" si="17"/>
        <v>0.1</v>
      </c>
      <c r="T39" s="41">
        <f t="shared" si="18"/>
        <v>0.4</v>
      </c>
      <c r="U39" s="22">
        <f t="shared" si="19"/>
        <v>56000</v>
      </c>
    </row>
    <row r="40" ht="19" customHeight="1">
      <c r="B40" s="11" t="s">
        <v>489</v>
      </c>
      <c r="C40" s="61" t="s">
        <v>490</v>
      </c>
      <c r="D40" s="16" t="s">
        <v>484</v>
      </c>
      <c r="E40" s="39" t="s">
        <v>258</v>
      </c>
      <c r="F40" s="14" t="s">
        <v>491</v>
      </c>
      <c r="G40" s="39" t="s">
        <v>424</v>
      </c>
      <c r="H40" s="18" t="s">
        <v>203</v>
      </c>
      <c r="I40" s="18" t="s">
        <v>416</v>
      </c>
      <c r="J40" s="62">
        <v>3</v>
      </c>
      <c r="K40" s="39" t="s">
        <v>436</v>
      </c>
      <c r="L40" s="63">
        <f>IF(K40="Sí",J40*Resumen_Ejecutivo!$E$23,0)</f>
        <v>12</v>
      </c>
      <c r="M40" s="64">
        <f>L40*Resumen_Ejecutivo!$E$27</f>
        <v>6.6</v>
      </c>
      <c r="N40" s="64">
        <f>L40*Resumen_Ejecutivo!$E$28</f>
        <v>2.4</v>
      </c>
      <c r="O40" s="64">
        <f>L40*Resumen_Ejecutivo!$E$29</f>
        <v>1.2</v>
      </c>
      <c r="P40" s="64">
        <f>L40*Resumen_Ejecutivo!$E$30</f>
        <v>1.2</v>
      </c>
      <c r="Q40" s="64">
        <f>L40*Resumen_Ejecutivo!$E$31</f>
        <v>0.6</v>
      </c>
      <c r="R40" s="22">
        <f>L40*Resumen_Ejecutivo!$E$22</f>
        <v>420000</v>
      </c>
      <c r="S40" s="24">
        <f t="shared" si="17"/>
        <v>0.1</v>
      </c>
      <c r="T40" s="41">
        <f t="shared" si="18"/>
        <v>0.3</v>
      </c>
      <c r="U40" s="22">
        <f t="shared" si="19"/>
        <v>42000</v>
      </c>
    </row>
    <row r="41" ht="19" customHeight="1">
      <c r="B41" s="11" t="s">
        <v>492</v>
      </c>
      <c r="C41" s="61" t="s">
        <v>493</v>
      </c>
      <c r="D41" s="16" t="s">
        <v>494</v>
      </c>
      <c r="E41" s="39" t="s">
        <v>385</v>
      </c>
      <c r="F41" s="14" t="s">
        <v>435</v>
      </c>
      <c r="G41" s="39" t="s">
        <v>424</v>
      </c>
      <c r="H41" s="18" t="s">
        <v>206</v>
      </c>
      <c r="I41" s="18" t="s">
        <v>416</v>
      </c>
      <c r="J41" s="62">
        <v>3</v>
      </c>
      <c r="K41" s="39" t="s">
        <v>436</v>
      </c>
      <c r="L41" s="63">
        <f>IF(K41="Sí",J41*Resumen_Ejecutivo!$E$23,0)</f>
        <v>12</v>
      </c>
      <c r="M41" s="64">
        <f>L41*Resumen_Ejecutivo!$E$27</f>
        <v>6.6</v>
      </c>
      <c r="N41" s="64">
        <f>L41*Resumen_Ejecutivo!$E$28</f>
        <v>2.4</v>
      </c>
      <c r="O41" s="64">
        <f>L41*Resumen_Ejecutivo!$E$29</f>
        <v>1.2</v>
      </c>
      <c r="P41" s="64">
        <f>L41*Resumen_Ejecutivo!$E$30</f>
        <v>1.2</v>
      </c>
      <c r="Q41" s="64">
        <f>L41*Resumen_Ejecutivo!$E$31</f>
        <v>0.6</v>
      </c>
      <c r="R41" s="22">
        <f>L41*Resumen_Ejecutivo!$E$22</f>
        <v>420000</v>
      </c>
      <c r="S41" s="24">
        <f t="shared" si="17"/>
        <v>0.1</v>
      </c>
      <c r="T41" s="41">
        <f t="shared" si="18"/>
        <v>0.3</v>
      </c>
      <c r="U41" s="22">
        <f t="shared" si="19"/>
        <v>42000</v>
      </c>
    </row>
    <row r="42" ht="19" customHeight="1">
      <c r="B42" s="11" t="s">
        <v>495</v>
      </c>
      <c r="C42" s="61" t="s">
        <v>496</v>
      </c>
      <c r="D42" s="16" t="s">
        <v>494</v>
      </c>
      <c r="E42" s="39" t="s">
        <v>385</v>
      </c>
      <c r="F42" s="14" t="s">
        <v>435</v>
      </c>
      <c r="G42" s="39" t="s">
        <v>424</v>
      </c>
      <c r="H42" s="18" t="s">
        <v>206</v>
      </c>
      <c r="I42" s="18" t="s">
        <v>416</v>
      </c>
      <c r="J42" s="62">
        <v>4</v>
      </c>
      <c r="K42" s="39" t="s">
        <v>436</v>
      </c>
      <c r="L42" s="63">
        <f>IF(K42="Sí",J42*Resumen_Ejecutivo!$E$23,0)</f>
        <v>16</v>
      </c>
      <c r="M42" s="64">
        <f>L42*Resumen_Ejecutivo!$E$27</f>
        <v>8.8</v>
      </c>
      <c r="N42" s="64">
        <f>L42*Resumen_Ejecutivo!$E$28</f>
        <v>3.2</v>
      </c>
      <c r="O42" s="64">
        <f>L42*Resumen_Ejecutivo!$E$29</f>
        <v>1.6</v>
      </c>
      <c r="P42" s="64">
        <f>L42*Resumen_Ejecutivo!$E$30</f>
        <v>1.6</v>
      </c>
      <c r="Q42" s="64">
        <f>L42*Resumen_Ejecutivo!$E$31</f>
        <v>0.8</v>
      </c>
      <c r="R42" s="22">
        <f>L42*Resumen_Ejecutivo!$E$22</f>
        <v>560000</v>
      </c>
      <c r="S42" s="24">
        <f t="shared" si="17"/>
        <v>0.1</v>
      </c>
      <c r="T42" s="41">
        <f t="shared" si="18"/>
        <v>0.4</v>
      </c>
      <c r="U42" s="22">
        <f t="shared" si="19"/>
        <v>56000</v>
      </c>
    </row>
    <row r="43" ht="19" customHeight="1">
      <c r="B43" s="11" t="s">
        <v>497</v>
      </c>
      <c r="C43" s="61" t="s">
        <v>498</v>
      </c>
      <c r="D43" s="16" t="s">
        <v>494</v>
      </c>
      <c r="E43" s="39" t="s">
        <v>385</v>
      </c>
      <c r="F43" s="14" t="s">
        <v>464</v>
      </c>
      <c r="G43" s="39" t="s">
        <v>424</v>
      </c>
      <c r="H43" s="18" t="s">
        <v>206</v>
      </c>
      <c r="I43" s="18" t="s">
        <v>416</v>
      </c>
      <c r="J43" s="62">
        <v>4</v>
      </c>
      <c r="K43" s="39" t="s">
        <v>436</v>
      </c>
      <c r="L43" s="63">
        <f>IF(K43="Sí",J43*Resumen_Ejecutivo!$E$23,0)</f>
        <v>16</v>
      </c>
      <c r="M43" s="64">
        <f>L43*Resumen_Ejecutivo!$E$27</f>
        <v>8.8</v>
      </c>
      <c r="N43" s="64">
        <f>L43*Resumen_Ejecutivo!$E$28</f>
        <v>3.2</v>
      </c>
      <c r="O43" s="64">
        <f>L43*Resumen_Ejecutivo!$E$29</f>
        <v>1.6</v>
      </c>
      <c r="P43" s="64">
        <f>L43*Resumen_Ejecutivo!$E$30</f>
        <v>1.6</v>
      </c>
      <c r="Q43" s="64">
        <f>L43*Resumen_Ejecutivo!$E$31</f>
        <v>0.8</v>
      </c>
      <c r="R43" s="22">
        <f>L43*Resumen_Ejecutivo!$E$22</f>
        <v>560000</v>
      </c>
      <c r="S43" s="24">
        <f t="shared" si="17"/>
        <v>0.1</v>
      </c>
      <c r="T43" s="41">
        <f t="shared" si="18"/>
        <v>0.4</v>
      </c>
      <c r="U43" s="22">
        <f t="shared" si="19"/>
        <v>56000</v>
      </c>
    </row>
    <row r="44" ht="19" customHeight="1">
      <c r="B44" s="11" t="s">
        <v>499</v>
      </c>
      <c r="C44" s="61" t="s">
        <v>500</v>
      </c>
      <c r="D44" s="16" t="s">
        <v>494</v>
      </c>
      <c r="E44" s="39" t="s">
        <v>385</v>
      </c>
      <c r="F44" s="14" t="s">
        <v>464</v>
      </c>
      <c r="G44" s="39" t="s">
        <v>424</v>
      </c>
      <c r="H44" s="18" t="s">
        <v>206</v>
      </c>
      <c r="I44" s="18" t="s">
        <v>416</v>
      </c>
      <c r="J44" s="62">
        <v>3</v>
      </c>
      <c r="K44" s="39" t="s">
        <v>436</v>
      </c>
      <c r="L44" s="63">
        <f>IF(K44="Sí",J44*Resumen_Ejecutivo!$E$23,0)</f>
        <v>12</v>
      </c>
      <c r="M44" s="64">
        <f>L44*Resumen_Ejecutivo!$E$27</f>
        <v>6.6</v>
      </c>
      <c r="N44" s="64">
        <f>L44*Resumen_Ejecutivo!$E$28</f>
        <v>2.4</v>
      </c>
      <c r="O44" s="64">
        <f>L44*Resumen_Ejecutivo!$E$29</f>
        <v>1.2</v>
      </c>
      <c r="P44" s="64">
        <f>L44*Resumen_Ejecutivo!$E$30</f>
        <v>1.2</v>
      </c>
      <c r="Q44" s="64">
        <f>L44*Resumen_Ejecutivo!$E$31</f>
        <v>0.6</v>
      </c>
      <c r="R44" s="22">
        <f>L44*Resumen_Ejecutivo!$E$22</f>
        <v>420000</v>
      </c>
      <c r="S44" s="24">
        <f t="shared" si="17"/>
        <v>0.1</v>
      </c>
      <c r="T44" s="41">
        <f t="shared" si="18"/>
        <v>0.3</v>
      </c>
      <c r="U44" s="22">
        <f t="shared" si="19"/>
        <v>42000</v>
      </c>
    </row>
    <row r="45" ht="19" customHeight="1">
      <c r="B45" s="11" t="s">
        <v>501</v>
      </c>
      <c r="C45" s="61" t="s">
        <v>502</v>
      </c>
      <c r="D45" s="16" t="s">
        <v>441</v>
      </c>
      <c r="E45" s="39" t="s">
        <v>389</v>
      </c>
      <c r="F45" s="14" t="s">
        <v>435</v>
      </c>
      <c r="G45" s="39" t="s">
        <v>424</v>
      </c>
      <c r="H45" s="18" t="s">
        <v>206</v>
      </c>
      <c r="I45" s="18" t="s">
        <v>416</v>
      </c>
      <c r="J45" s="62">
        <v>4</v>
      </c>
      <c r="K45" s="39" t="s">
        <v>436</v>
      </c>
      <c r="L45" s="63">
        <f>IF(K45="Sí",J45*Resumen_Ejecutivo!$E$23,0)</f>
        <v>16</v>
      </c>
      <c r="M45" s="64">
        <f>L45*Resumen_Ejecutivo!$E$27</f>
        <v>8.8</v>
      </c>
      <c r="N45" s="64">
        <f>L45*Resumen_Ejecutivo!$E$28</f>
        <v>3.2</v>
      </c>
      <c r="O45" s="64">
        <f>L45*Resumen_Ejecutivo!$E$29</f>
        <v>1.6</v>
      </c>
      <c r="P45" s="64">
        <f>L45*Resumen_Ejecutivo!$E$30</f>
        <v>1.6</v>
      </c>
      <c r="Q45" s="64">
        <f>L45*Resumen_Ejecutivo!$E$31</f>
        <v>0.8</v>
      </c>
      <c r="R45" s="22">
        <f>L45*Resumen_Ejecutivo!$E$22</f>
        <v>560000</v>
      </c>
      <c r="S45" s="24">
        <f t="shared" si="17"/>
        <v>0.1</v>
      </c>
      <c r="T45" s="41">
        <f t="shared" si="18"/>
        <v>0.4</v>
      </c>
      <c r="U45" s="22">
        <f t="shared" si="19"/>
        <v>56000</v>
      </c>
    </row>
    <row r="46" ht="19" customHeight="1">
      <c r="B46" s="11" t="s">
        <v>503</v>
      </c>
      <c r="C46" s="61" t="s">
        <v>504</v>
      </c>
      <c r="D46" s="16" t="s">
        <v>434</v>
      </c>
      <c r="E46" s="39" t="s">
        <v>310</v>
      </c>
      <c r="F46" s="14" t="s">
        <v>435</v>
      </c>
      <c r="G46" s="39" t="s">
        <v>424</v>
      </c>
      <c r="H46" s="18" t="s">
        <v>206</v>
      </c>
      <c r="I46" s="18" t="s">
        <v>416</v>
      </c>
      <c r="J46" s="62">
        <v>5</v>
      </c>
      <c r="K46" s="39" t="s">
        <v>436</v>
      </c>
      <c r="L46" s="63">
        <f>IF(K46="Sí",J46*Resumen_Ejecutivo!$E$23,0)</f>
        <v>20</v>
      </c>
      <c r="M46" s="64">
        <f>L46*Resumen_Ejecutivo!$E$27</f>
        <v>11</v>
      </c>
      <c r="N46" s="64">
        <f>L46*Resumen_Ejecutivo!$E$28</f>
        <v>4</v>
      </c>
      <c r="O46" s="64">
        <f>L46*Resumen_Ejecutivo!$E$29</f>
        <v>2</v>
      </c>
      <c r="P46" s="64">
        <f>L46*Resumen_Ejecutivo!$E$30</f>
        <v>2</v>
      </c>
      <c r="Q46" s="64">
        <f>L46*Resumen_Ejecutivo!$E$31</f>
        <v>1</v>
      </c>
      <c r="R46" s="22">
        <f>L46*Resumen_Ejecutivo!$E$22</f>
        <v>700000</v>
      </c>
      <c r="S46" s="24">
        <f t="shared" si="17"/>
        <v>0.1</v>
      </c>
      <c r="T46" s="41">
        <f t="shared" si="18"/>
        <v>0.5</v>
      </c>
      <c r="U46" s="22">
        <f t="shared" si="19"/>
        <v>70000</v>
      </c>
    </row>
    <row r="47" ht="19" customHeight="1">
      <c r="B47" s="11" t="s">
        <v>505</v>
      </c>
      <c r="C47" s="61" t="s">
        <v>506</v>
      </c>
      <c r="D47" s="16" t="s">
        <v>434</v>
      </c>
      <c r="E47" s="39" t="s">
        <v>265</v>
      </c>
      <c r="F47" s="14" t="s">
        <v>435</v>
      </c>
      <c r="G47" s="39" t="s">
        <v>424</v>
      </c>
      <c r="H47" s="18" t="s">
        <v>206</v>
      </c>
      <c r="I47" s="18" t="s">
        <v>416</v>
      </c>
      <c r="J47" s="62">
        <v>5</v>
      </c>
      <c r="K47" s="39" t="s">
        <v>436</v>
      </c>
      <c r="L47" s="63">
        <f>IF(K47="Sí",J47*Resumen_Ejecutivo!$E$23,0)</f>
        <v>20</v>
      </c>
      <c r="M47" s="64">
        <f>L47*Resumen_Ejecutivo!$E$27</f>
        <v>11</v>
      </c>
      <c r="N47" s="64">
        <f>L47*Resumen_Ejecutivo!$E$28</f>
        <v>4</v>
      </c>
      <c r="O47" s="64">
        <f>L47*Resumen_Ejecutivo!$E$29</f>
        <v>2</v>
      </c>
      <c r="P47" s="64">
        <f>L47*Resumen_Ejecutivo!$E$30</f>
        <v>2</v>
      </c>
      <c r="Q47" s="64">
        <f>L47*Resumen_Ejecutivo!$E$31</f>
        <v>1</v>
      </c>
      <c r="R47" s="22">
        <f>L47*Resumen_Ejecutivo!$E$22</f>
        <v>700000</v>
      </c>
      <c r="S47" s="24">
        <f t="shared" si="17"/>
        <v>0.1</v>
      </c>
      <c r="T47" s="41">
        <f t="shared" si="18"/>
        <v>0.5</v>
      </c>
      <c r="U47" s="22">
        <f t="shared" si="19"/>
        <v>70000</v>
      </c>
    </row>
    <row r="48" ht="22" customHeight="1">
      <c r="B48" s="29" t="s">
        <v>209</v>
      </c>
      <c r="C48" s="65" t="s">
        <v>507</v>
      </c>
      <c r="D48" s="28"/>
      <c r="E48" s="28"/>
      <c r="F48" s="28"/>
      <c r="G48" s="28"/>
      <c r="H48" s="28"/>
      <c r="I48" s="28"/>
      <c r="J48" s="66">
        <f>SUM(J16:J47)</f>
        <v>150</v>
      </c>
      <c r="K48" s="28"/>
      <c r="L48" s="66">
        <f>SUM(L16:L47)</f>
        <v>600</v>
      </c>
      <c r="M48" s="44">
        <f>SUM(M16:M47)</f>
        <v>330</v>
      </c>
      <c r="N48" s="44">
        <f>SUM(N16:N47)</f>
        <v>120</v>
      </c>
      <c r="O48" s="44">
        <f>SUM(O16:O47)</f>
        <v>60</v>
      </c>
      <c r="P48" s="44">
        <f>SUM(P16:P47)</f>
        <v>60</v>
      </c>
      <c r="Q48" s="44">
        <f>SUM(Q16:Q47)</f>
        <v>30</v>
      </c>
      <c r="R48" s="30">
        <f>SUM(R16:R47)</f>
        <v>21000000</v>
      </c>
      <c r="S48" s="31">
        <f>IF(J48&gt;0,T48/J48,0)</f>
        <v>0.613333333333334</v>
      </c>
      <c r="T48" s="44">
        <f>SUM(T16:T47)</f>
        <v>92</v>
      </c>
      <c r="U48" s="30">
        <f>SUM(U16:U47)</f>
        <v>12880000</v>
      </c>
    </row>
  </sheetData>
  <mergeCells count="3">
    <mergeCell ref="B2:U2"/>
    <mergeCell ref="B3:U3"/>
    <mergeCell ref="B5:E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cols>
    <col customWidth="1" min="2" max="2" width="38"/>
    <col customWidth="1" min="3" max="3" width="12"/>
    <col customWidth="1" min="4" max="6" width="26"/>
    <col customWidth="1" min="7" max="8" width="22"/>
  </cols>
  <sheetData>
    <row r="2" ht="28" customHeight="1">
      <c r="B2" s="1" t="s">
        <v>508</v>
      </c>
    </row>
    <row r="3" ht="18" customHeight="1">
      <c r="B3" s="67" t="s">
        <v>509</v>
      </c>
    </row>
    <row r="5" ht="24" customHeight="1">
      <c r="B5" s="59" t="s">
        <v>510</v>
      </c>
    </row>
    <row r="6" ht="28" customHeight="1">
      <c r="B6" s="68" t="s">
        <v>511</v>
      </c>
      <c r="C6" s="68" t="s">
        <v>24</v>
      </c>
      <c r="D6" s="68" t="s">
        <v>512</v>
      </c>
      <c r="E6" s="68" t="s">
        <v>513</v>
      </c>
      <c r="F6" s="68" t="s">
        <v>514</v>
      </c>
      <c r="G6" s="68" t="s">
        <v>515</v>
      </c>
      <c r="H6" s="68" t="s">
        <v>516</v>
      </c>
    </row>
    <row r="7" ht="22" customHeight="1">
      <c r="B7" s="69" t="s">
        <v>517</v>
      </c>
      <c r="C7" s="70" t="s">
        <v>49</v>
      </c>
      <c r="D7" s="71">
        <v>143</v>
      </c>
      <c r="E7" s="72">
        <v>150</v>
      </c>
      <c r="F7" s="71">
        <v>195</v>
      </c>
      <c r="G7" s="71">
        <f t="shared" ref="G7:G9" si="20">D7-E7</f>
        <v>-7</v>
      </c>
      <c r="H7" s="71">
        <f t="shared" ref="H7:H9" si="21">F7-E7</f>
        <v>45</v>
      </c>
    </row>
    <row r="8" ht="22" customHeight="1">
      <c r="B8" s="73" t="s">
        <v>518</v>
      </c>
      <c r="C8" s="74" t="s">
        <v>189</v>
      </c>
      <c r="D8" s="75">
        <f>D7*Resumen_Ejecutivo!$E$23</f>
        <v>572</v>
      </c>
      <c r="E8" s="76">
        <f>E7*Resumen_Ejecutivo!$E$23</f>
        <v>600</v>
      </c>
      <c r="F8" s="75">
        <f>F7*Resumen_Ejecutivo!$E$23</f>
        <v>780</v>
      </c>
      <c r="G8" s="75">
        <f t="shared" si="20"/>
        <v>-28</v>
      </c>
      <c r="H8" s="75">
        <f t="shared" si="21"/>
        <v>180</v>
      </c>
    </row>
    <row r="9" ht="22" customHeight="1">
      <c r="B9" s="69" t="s">
        <v>519</v>
      </c>
      <c r="C9" s="70" t="s">
        <v>293</v>
      </c>
      <c r="D9" s="77">
        <f>E9-1400000</f>
        <v>23285000</v>
      </c>
      <c r="E9" s="78">
        <f>Matriz_Costos!I36</f>
        <v>24685000</v>
      </c>
      <c r="F9" s="77">
        <f>E9+7800000</f>
        <v>32485000</v>
      </c>
      <c r="G9" s="77">
        <f t="shared" si="20"/>
        <v>-1400000</v>
      </c>
      <c r="H9" s="77">
        <f t="shared" si="21"/>
        <v>7800000</v>
      </c>
    </row>
    <row r="10" ht="22" customHeight="1">
      <c r="B10" s="73" t="s">
        <v>95</v>
      </c>
      <c r="C10" s="74" t="s">
        <v>520</v>
      </c>
      <c r="D10" s="79">
        <f>E10-60000</f>
        <v>229841.666666667</v>
      </c>
      <c r="E10" s="80">
        <f>Matriz_Costos!I54</f>
        <v>289841.666666667</v>
      </c>
      <c r="F10" s="79">
        <f>E10+120000</f>
        <v>409841.666666667</v>
      </c>
      <c r="G10" s="79">
        <f t="shared" ref="G10:G12" si="22">D10-E10</f>
        <v>-60000</v>
      </c>
      <c r="H10" s="79">
        <f t="shared" ref="H10:H12" si="23">F10-E10</f>
        <v>120000</v>
      </c>
    </row>
    <row r="11" ht="22" customHeight="1">
      <c r="B11" s="69" t="s">
        <v>521</v>
      </c>
      <c r="C11" s="70" t="s">
        <v>160</v>
      </c>
      <c r="D11" s="77">
        <f>D10*12</f>
        <v>2758100</v>
      </c>
      <c r="E11" s="78">
        <f>E10*12</f>
        <v>3478100</v>
      </c>
      <c r="F11" s="77">
        <f>F10*12</f>
        <v>4918100</v>
      </c>
      <c r="G11" s="77">
        <f t="shared" si="22"/>
        <v>-720000</v>
      </c>
      <c r="H11" s="77">
        <f t="shared" si="23"/>
        <v>1440000</v>
      </c>
    </row>
    <row r="12" ht="22" customHeight="1">
      <c r="B12" s="27" t="s">
        <v>522</v>
      </c>
      <c r="C12" s="81" t="s">
        <v>293</v>
      </c>
      <c r="D12" s="30">
        <f>D9+D11</f>
        <v>26043100</v>
      </c>
      <c r="E12" s="30">
        <f>E9+E11</f>
        <v>28163100</v>
      </c>
      <c r="F12" s="30">
        <f>F9+F11</f>
        <v>37403100</v>
      </c>
      <c r="G12" s="30">
        <f t="shared" si="22"/>
        <v>-2120000</v>
      </c>
      <c r="H12" s="30">
        <f t="shared" si="23"/>
        <v>9240000</v>
      </c>
    </row>
    <row r="13" ht="22" customHeight="1">
      <c r="B13" s="69" t="s">
        <v>523</v>
      </c>
      <c r="C13" s="70" t="s">
        <v>524</v>
      </c>
      <c r="D13" s="82">
        <f>(D12-E12)/E12</f>
        <v>-0.0752758041550824</v>
      </c>
      <c r="E13" s="83">
        <v>0</v>
      </c>
      <c r="F13" s="82">
        <f>(F12-E12)/E12</f>
        <v>0.32808888226083</v>
      </c>
      <c r="G13" s="82">
        <f>(D12-E12)/E12</f>
        <v>-0.0752758041550824</v>
      </c>
      <c r="H13" s="82">
        <f>(F12-E12)/E12</f>
        <v>0.32808888226083</v>
      </c>
    </row>
    <row r="14" ht="22" customHeight="1">
      <c r="B14" s="73" t="s">
        <v>525</v>
      </c>
      <c r="C14" s="74" t="s">
        <v>526</v>
      </c>
      <c r="D14" s="84">
        <f>D9/((Resumen_Ejecutivo!$E$69+Resumen_Ejecutivo!$E$70)/12)</f>
        <v>12.9385670428183</v>
      </c>
      <c r="E14" s="85">
        <f>E9/((Resumen_Ejecutivo!$E$69+Resumen_Ejecutivo!$E$70)/12)</f>
        <v>13.7164924823693</v>
      </c>
      <c r="F14" s="84">
        <f>F9/((Resumen_Ejecutivo!$E$69+Resumen_Ejecutivo!$E$70*1.15)/12)</f>
        <v>17.0287306864</v>
      </c>
      <c r="G14" s="84">
        <f>D14-E14</f>
        <v>-0.777925439551026</v>
      </c>
      <c r="H14" s="84">
        <f>F14-E14</f>
        <v>3.31223820403065</v>
      </c>
    </row>
    <row r="15" ht="22" customHeight="1">
      <c r="B15" s="69" t="s">
        <v>527</v>
      </c>
      <c r="C15" s="70" t="s">
        <v>528</v>
      </c>
      <c r="D15" s="70" t="s">
        <v>529</v>
      </c>
      <c r="E15" s="70" t="s">
        <v>530</v>
      </c>
      <c r="F15" s="70" t="s">
        <v>531</v>
      </c>
      <c r="G15" s="86" t="s">
        <v>532</v>
      </c>
      <c r="H15" s="86" t="s">
        <v>533</v>
      </c>
    </row>
    <row r="17" ht="24" customHeight="1">
      <c r="B17" s="59" t="s">
        <v>534</v>
      </c>
    </row>
    <row r="18" ht="26" customHeight="1">
      <c r="B18" s="68" t="s">
        <v>535</v>
      </c>
      <c r="C18" s="68" t="s">
        <v>536</v>
      </c>
      <c r="D18" s="68" t="s">
        <v>24</v>
      </c>
      <c r="E18" s="68" t="s">
        <v>537</v>
      </c>
      <c r="F18" s="68" t="s">
        <v>538</v>
      </c>
      <c r="G18" s="68" t="s">
        <v>539</v>
      </c>
      <c r="H18" s="68" t="s">
        <v>540</v>
      </c>
    </row>
    <row r="19" ht="22" customHeight="1">
      <c r="B19" s="69" t="s">
        <v>541</v>
      </c>
      <c r="C19" s="87" t="s">
        <v>542</v>
      </c>
      <c r="D19" s="70" t="s">
        <v>293</v>
      </c>
      <c r="E19" s="77">
        <f>Matriz_Costos!I36</f>
        <v>24685000</v>
      </c>
      <c r="F19" s="77">
        <v>0</v>
      </c>
      <c r="G19" s="77">
        <v>0</v>
      </c>
      <c r="H19" s="77">
        <f t="shared" ref="H19:H25" si="24">SUM(E19:G19)</f>
        <v>24685000</v>
      </c>
    </row>
    <row r="20" ht="22" customHeight="1">
      <c r="B20" s="73" t="s">
        <v>543</v>
      </c>
      <c r="C20" s="88" t="s">
        <v>544</v>
      </c>
      <c r="D20" s="74" t="s">
        <v>160</v>
      </c>
      <c r="E20" s="79">
        <f>Matriz_Costos!I44</f>
        <v>655700</v>
      </c>
      <c r="F20" s="79">
        <f>E20*(1+Resumen_Ejecutivo!$E$26)</f>
        <v>688485</v>
      </c>
      <c r="G20" s="79">
        <f>F20*(1+Resumen_Ejecutivo!$E$26)</f>
        <v>722909.25</v>
      </c>
      <c r="H20" s="79">
        <f t="shared" si="24"/>
        <v>2067094.25</v>
      </c>
    </row>
    <row r="21" ht="22" customHeight="1">
      <c r="B21" s="69" t="s">
        <v>545</v>
      </c>
      <c r="C21" s="87" t="s">
        <v>544</v>
      </c>
      <c r="D21" s="70" t="s">
        <v>160</v>
      </c>
      <c r="E21" s="77">
        <f>Matriz_Costos!I49</f>
        <v>662400</v>
      </c>
      <c r="F21" s="77">
        <f>E21*(1+Resumen_Ejecutivo!$E$26)</f>
        <v>695520</v>
      </c>
      <c r="G21" s="77">
        <f>F21*(1+Resumen_Ejecutivo!$E$26)</f>
        <v>730296</v>
      </c>
      <c r="H21" s="77">
        <f t="shared" si="24"/>
        <v>2088216</v>
      </c>
    </row>
    <row r="22" ht="22" customHeight="1">
      <c r="B22" s="73" t="s">
        <v>546</v>
      </c>
      <c r="C22" s="88" t="s">
        <v>547</v>
      </c>
      <c r="D22" s="74" t="s">
        <v>160</v>
      </c>
      <c r="E22" s="79">
        <f>E20+E21</f>
        <v>1318100</v>
      </c>
      <c r="F22" s="79">
        <f>F20+F21</f>
        <v>1384005</v>
      </c>
      <c r="G22" s="79">
        <f>G20+G21</f>
        <v>1453205.25</v>
      </c>
      <c r="H22" s="79">
        <f t="shared" si="24"/>
        <v>4155310.25</v>
      </c>
    </row>
    <row r="23" ht="22" customHeight="1">
      <c r="B23" s="69" t="s">
        <v>548</v>
      </c>
      <c r="C23" s="87" t="s">
        <v>549</v>
      </c>
      <c r="D23" s="70" t="s">
        <v>160</v>
      </c>
      <c r="E23" s="77">
        <f>Matriz_Costos!I52</f>
        <v>2160000</v>
      </c>
      <c r="F23" s="77">
        <f>E23*(1+0.06)</f>
        <v>2289600</v>
      </c>
      <c r="G23" s="77">
        <f>F23*(1+0.06)</f>
        <v>2426976</v>
      </c>
      <c r="H23" s="77">
        <f t="shared" si="24"/>
        <v>6876576</v>
      </c>
    </row>
    <row r="24" ht="22" customHeight="1">
      <c r="B24" s="27" t="s">
        <v>550</v>
      </c>
      <c r="C24" s="89" t="s">
        <v>551</v>
      </c>
      <c r="D24" s="81" t="s">
        <v>160</v>
      </c>
      <c r="E24" s="30">
        <f>E22+E23</f>
        <v>3478100</v>
      </c>
      <c r="F24" s="30">
        <f>F22+F23</f>
        <v>3673605</v>
      </c>
      <c r="G24" s="30">
        <f>G22+G23</f>
        <v>3880181.25</v>
      </c>
      <c r="H24" s="30">
        <f t="shared" si="24"/>
        <v>11031886.25</v>
      </c>
    </row>
    <row r="25" ht="22" customHeight="1">
      <c r="B25" s="27" t="s">
        <v>552</v>
      </c>
      <c r="C25" s="89" t="s">
        <v>553</v>
      </c>
      <c r="D25" s="81" t="s">
        <v>160</v>
      </c>
      <c r="E25" s="30">
        <f>E19+E24</f>
        <v>28163100</v>
      </c>
      <c r="F25" s="30">
        <f>F19+F24</f>
        <v>3673605</v>
      </c>
      <c r="G25" s="30">
        <f>G19+G24</f>
        <v>3880181.25</v>
      </c>
      <c r="H25" s="30">
        <f t="shared" si="24"/>
        <v>35716886.25</v>
      </c>
    </row>
    <row r="26" ht="22" customHeight="1">
      <c r="B26" s="27" t="s">
        <v>554</v>
      </c>
      <c r="C26" s="89" t="s">
        <v>555</v>
      </c>
      <c r="D26" s="81" t="s">
        <v>293</v>
      </c>
      <c r="E26" s="30">
        <f>E25</f>
        <v>28163100</v>
      </c>
      <c r="F26" s="30">
        <f>E26+F25</f>
        <v>31836705</v>
      </c>
      <c r="G26" s="30">
        <f>F26+G25</f>
        <v>35716886.25</v>
      </c>
      <c r="H26" s="30">
        <f>G26</f>
        <v>35716886.25</v>
      </c>
    </row>
    <row r="28" ht="24" customHeight="1">
      <c r="B28" s="59" t="s">
        <v>556</v>
      </c>
    </row>
    <row r="29" ht="26" customHeight="1">
      <c r="B29" s="68" t="s">
        <v>557</v>
      </c>
      <c r="C29" s="68" t="s">
        <v>558</v>
      </c>
      <c r="D29" s="68" t="s">
        <v>24</v>
      </c>
      <c r="E29" s="68" t="s">
        <v>559</v>
      </c>
      <c r="F29" s="68" t="s">
        <v>560</v>
      </c>
      <c r="G29" s="68" t="s">
        <v>561</v>
      </c>
      <c r="H29" s="68" t="s">
        <v>562</v>
      </c>
    </row>
    <row r="30" ht="22" customHeight="1">
      <c r="B30" s="73" t="s">
        <v>563</v>
      </c>
      <c r="C30" s="88" t="s">
        <v>564</v>
      </c>
      <c r="D30" s="74" t="s">
        <v>53</v>
      </c>
      <c r="E30" s="79">
        <v>3735</v>
      </c>
      <c r="F30" s="79">
        <f>Resumen_Ejecutivo!$E$25</f>
        <v>4150</v>
      </c>
      <c r="G30" s="79">
        <v>4980</v>
      </c>
      <c r="H30" s="90" t="s">
        <v>565</v>
      </c>
    </row>
    <row r="31" ht="22" customHeight="1">
      <c r="B31" s="69" t="s">
        <v>566</v>
      </c>
      <c r="C31" s="87" t="s">
        <v>567</v>
      </c>
      <c r="D31" s="70" t="s">
        <v>520</v>
      </c>
      <c r="E31" s="77">
        <f>3735*18</f>
        <v>67230</v>
      </c>
      <c r="F31" s="77">
        <f>Resumen_Ejecutivo!$E$25*18</f>
        <v>74700</v>
      </c>
      <c r="G31" s="77">
        <f>4980*18</f>
        <v>89640</v>
      </c>
      <c r="H31" s="91" t="s">
        <v>568</v>
      </c>
    </row>
    <row r="32" ht="22" customHeight="1">
      <c r="B32" s="73" t="s">
        <v>569</v>
      </c>
      <c r="C32" s="88" t="s">
        <v>570</v>
      </c>
      <c r="D32" s="74" t="s">
        <v>76</v>
      </c>
      <c r="E32" s="75">
        <v>60</v>
      </c>
      <c r="F32" s="75">
        <f>Resumen_Ejecutivo!$E$33</f>
        <v>40</v>
      </c>
      <c r="G32" s="75">
        <v>20</v>
      </c>
      <c r="H32" s="90" t="s">
        <v>571</v>
      </c>
    </row>
    <row r="33" ht="22" customHeight="1">
      <c r="B33" s="69" t="s">
        <v>572</v>
      </c>
      <c r="C33" s="87" t="s">
        <v>573</v>
      </c>
      <c r="D33" s="70" t="s">
        <v>520</v>
      </c>
      <c r="E33" s="77">
        <f>E32*Resumen_Ejecutivo!$E$34</f>
        <v>1944000</v>
      </c>
      <c r="F33" s="77">
        <f>F32*Resumen_Ejecutivo!$E$34</f>
        <v>1296000</v>
      </c>
      <c r="G33" s="77">
        <f>G32*Resumen_Ejecutivo!$E$34</f>
        <v>648000</v>
      </c>
      <c r="H33" s="91" t="s">
        <v>574</v>
      </c>
    </row>
    <row r="34" ht="22" customHeight="1">
      <c r="B34" s="73" t="s">
        <v>575</v>
      </c>
      <c r="C34" s="88" t="s">
        <v>576</v>
      </c>
      <c r="D34" s="74" t="s">
        <v>526</v>
      </c>
      <c r="E34" s="84">
        <f>Matriz_Costos!$I$36/((E33*12+Resumen_Ejecutivo!$E$70)/12)</f>
        <v>9.26614114114114</v>
      </c>
      <c r="F34" s="84">
        <f>Matriz_Costos!$I$36/((F33*12+Resumen_Ejecutivo!$E$70)/12)</f>
        <v>12.2445436507937</v>
      </c>
      <c r="G34" s="84">
        <f>Matriz_Costos!$I$36/((G33*12+Resumen_Ejecutivo!$E$70)/12)</f>
        <v>18.0445906432749</v>
      </c>
      <c r="H34" s="90" t="s">
        <v>577</v>
      </c>
    </row>
    <row r="35" ht="22" customHeight="1">
      <c r="B35" s="69" t="s">
        <v>578</v>
      </c>
      <c r="C35" s="87" t="s">
        <v>579</v>
      </c>
      <c r="D35" s="70" t="s">
        <v>580</v>
      </c>
      <c r="E35" s="77">
        <v>30000</v>
      </c>
      <c r="F35" s="77">
        <f>Resumen_Ejecutivo!$E$22</f>
        <v>35000</v>
      </c>
      <c r="G35" s="77">
        <v>40000</v>
      </c>
      <c r="H35" s="91" t="s">
        <v>581</v>
      </c>
    </row>
    <row r="36" ht="22" customHeight="1">
      <c r="B36" s="73" t="s">
        <v>582</v>
      </c>
      <c r="C36" s="88" t="s">
        <v>583</v>
      </c>
      <c r="D36" s="74" t="s">
        <v>293</v>
      </c>
      <c r="E36" s="79">
        <f>E35*600</f>
        <v>18000000</v>
      </c>
      <c r="F36" s="79">
        <f>F35*600</f>
        <v>21000000</v>
      </c>
      <c r="G36" s="79">
        <f>G35*600</f>
        <v>24000000</v>
      </c>
      <c r="H36" s="90" t="s">
        <v>584</v>
      </c>
    </row>
    <row r="38" ht="24" customHeight="1">
      <c r="B38" s="59" t="s">
        <v>585</v>
      </c>
    </row>
    <row r="39" ht="28" customHeight="1">
      <c r="B39" s="92" t="s">
        <v>586</v>
      </c>
      <c r="C39" s="93" t="s">
        <v>587</v>
      </c>
      <c r="D39" s="7"/>
      <c r="E39" s="7"/>
      <c r="F39" s="7"/>
      <c r="G39" s="7"/>
      <c r="H39" s="7"/>
    </row>
    <row r="40" ht="36" customHeight="1">
      <c r="B40" s="92" t="s">
        <v>588</v>
      </c>
      <c r="C40" s="93" t="s">
        <v>589</v>
      </c>
      <c r="D40" s="7"/>
      <c r="E40" s="7"/>
      <c r="F40" s="7"/>
      <c r="G40" s="7"/>
      <c r="H40" s="7"/>
    </row>
    <row r="41" ht="36" customHeight="1">
      <c r="B41" s="92" t="s">
        <v>590</v>
      </c>
      <c r="C41" s="93" t="s">
        <v>591</v>
      </c>
      <c r="D41" s="7"/>
      <c r="E41" s="7"/>
      <c r="F41" s="7"/>
      <c r="G41" s="7"/>
      <c r="H41" s="7"/>
    </row>
    <row r="42" ht="36" customHeight="1">
      <c r="B42" s="92" t="s">
        <v>592</v>
      </c>
      <c r="C42" s="93" t="s">
        <v>593</v>
      </c>
      <c r="D42" s="7"/>
      <c r="E42" s="7"/>
      <c r="F42" s="7"/>
      <c r="G42" s="7"/>
      <c r="H42" s="7"/>
    </row>
    <row r="43" ht="36" customHeight="1">
      <c r="B43" s="92" t="s">
        <v>594</v>
      </c>
      <c r="C43" s="93" t="s">
        <v>595</v>
      </c>
      <c r="D43" s="7"/>
      <c r="E43" s="7"/>
      <c r="F43" s="7"/>
      <c r="G43" s="7"/>
      <c r="H43" s="7"/>
    </row>
  </sheetData>
  <mergeCells count="11">
    <mergeCell ref="C41:H41"/>
    <mergeCell ref="C42:H42"/>
    <mergeCell ref="B17:H17"/>
    <mergeCell ref="C40:H40"/>
    <mergeCell ref="B38:H38"/>
    <mergeCell ref="B2:H2"/>
    <mergeCell ref="C39:H39"/>
    <mergeCell ref="C43:H43"/>
    <mergeCell ref="B3:H3"/>
    <mergeCell ref="B5:H5"/>
    <mergeCell ref="B28:H28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24" zoomScale="100" workbookViewId="0">
      <selection activeCell="D19" activeCellId="0" sqref="D19"/>
    </sheetView>
  </sheetViews>
  <sheetFormatPr baseColWidth="8" defaultRowHeight="14.25"/>
  <cols>
    <col customWidth="1" min="2" max="2" width="65.421875"/>
    <col customWidth="1" min="3" max="3" width="18"/>
    <col customWidth="1" min="4" max="4" width="39.28125"/>
    <col customWidth="1" min="5" max="5" width="18"/>
    <col customWidth="1" min="6" max="6" width="12"/>
    <col customWidth="1" min="7" max="7" width="20"/>
    <col customWidth="1" min="8" max="8" width="26"/>
    <col customWidth="1" min="9" max="9" width="16"/>
    <col customWidth="1" min="10" max="10" width="14"/>
    <col customWidth="1" min="11" max="11" width="48.7109375"/>
  </cols>
  <sheetData>
    <row r="2" ht="28" customHeight="1">
      <c r="B2" s="1" t="s">
        <v>596</v>
      </c>
    </row>
    <row r="3" ht="18" customHeight="1">
      <c r="B3" s="67" t="s">
        <v>597</v>
      </c>
    </row>
    <row r="5" ht="24" customHeight="1">
      <c r="B5" s="59" t="s">
        <v>598</v>
      </c>
    </row>
    <row r="6" ht="28" customHeight="1">
      <c r="B6" s="68" t="s">
        <v>599</v>
      </c>
      <c r="C6" s="68" t="s">
        <v>600</v>
      </c>
      <c r="D6" s="68" t="s">
        <v>601</v>
      </c>
      <c r="E6" s="68" t="s">
        <v>602</v>
      </c>
      <c r="F6" s="68" t="s">
        <v>24</v>
      </c>
      <c r="G6" s="68" t="s">
        <v>603</v>
      </c>
      <c r="H6" s="68" t="s">
        <v>604</v>
      </c>
      <c r="I6" s="68" t="s">
        <v>605</v>
      </c>
      <c r="J6" s="68" t="s">
        <v>606</v>
      </c>
      <c r="K6" s="68" t="s">
        <v>607</v>
      </c>
    </row>
    <row r="7" ht="22" customHeight="1">
      <c r="B7" s="94" t="s">
        <v>608</v>
      </c>
      <c r="C7" s="87" t="s">
        <v>609</v>
      </c>
      <c r="D7" s="69" t="s">
        <v>610</v>
      </c>
      <c r="E7" s="95">
        <f>Resumen_Ejecutivo!$E$22</f>
        <v>35000</v>
      </c>
      <c r="F7" s="70" t="s">
        <v>580</v>
      </c>
      <c r="G7" s="87" t="s">
        <v>611</v>
      </c>
      <c r="H7" s="87" t="s">
        <v>612</v>
      </c>
      <c r="I7" s="15" t="s">
        <v>30</v>
      </c>
      <c r="J7" s="94" t="s">
        <v>613</v>
      </c>
      <c r="K7" s="91" t="s">
        <v>614</v>
      </c>
    </row>
    <row r="8" ht="22" customHeight="1">
      <c r="B8" s="96" t="s">
        <v>615</v>
      </c>
      <c r="C8" s="88" t="s">
        <v>616</v>
      </c>
      <c r="D8" s="73" t="s">
        <v>617</v>
      </c>
      <c r="E8" s="97">
        <f>Resumen_Ejecutivo!$E$23</f>
        <v>4</v>
      </c>
      <c r="F8" s="74" t="s">
        <v>618</v>
      </c>
      <c r="G8" s="88" t="s">
        <v>619</v>
      </c>
      <c r="H8" s="88" t="s">
        <v>620</v>
      </c>
      <c r="I8" s="15" t="s">
        <v>30</v>
      </c>
      <c r="J8" s="96" t="s">
        <v>613</v>
      </c>
      <c r="K8" s="90" t="s">
        <v>621</v>
      </c>
    </row>
    <row r="9" ht="22" customHeight="1">
      <c r="B9" s="94" t="s">
        <v>622</v>
      </c>
      <c r="C9" s="87" t="s">
        <v>623</v>
      </c>
      <c r="D9" s="69" t="s">
        <v>624</v>
      </c>
      <c r="E9" s="72">
        <f>Historias_Backlog!J48</f>
        <v>150</v>
      </c>
      <c r="F9" s="70" t="s">
        <v>49</v>
      </c>
      <c r="G9" s="87" t="s">
        <v>625</v>
      </c>
      <c r="H9" s="87" t="s">
        <v>626</v>
      </c>
      <c r="I9" s="15" t="s">
        <v>30</v>
      </c>
      <c r="J9" s="94" t="s">
        <v>613</v>
      </c>
      <c r="K9" s="91" t="s">
        <v>627</v>
      </c>
    </row>
    <row r="10" ht="22" customHeight="1">
      <c r="B10" s="96" t="s">
        <v>628</v>
      </c>
      <c r="C10" s="88" t="s">
        <v>629</v>
      </c>
      <c r="D10" s="73" t="s">
        <v>52</v>
      </c>
      <c r="E10" s="95">
        <f>Resumen_Ejecutivo!$E$25</f>
        <v>4150</v>
      </c>
      <c r="F10" s="74" t="s">
        <v>53</v>
      </c>
      <c r="G10" s="88" t="s">
        <v>630</v>
      </c>
      <c r="H10" s="88" t="s">
        <v>631</v>
      </c>
      <c r="I10" s="15" t="s">
        <v>30</v>
      </c>
      <c r="J10" s="74" t="s">
        <v>632</v>
      </c>
      <c r="K10" s="90" t="s">
        <v>633</v>
      </c>
    </row>
    <row r="11" ht="22" customHeight="1">
      <c r="B11" s="94" t="s">
        <v>634</v>
      </c>
      <c r="C11" s="87" t="s">
        <v>321</v>
      </c>
      <c r="D11" s="69" t="s">
        <v>635</v>
      </c>
      <c r="E11" s="98">
        <f>Matriz_Costos!F40</f>
        <v>12</v>
      </c>
      <c r="F11" s="70" t="s">
        <v>636</v>
      </c>
      <c r="G11" s="87" t="s">
        <v>637</v>
      </c>
      <c r="H11" s="87" t="s">
        <v>638</v>
      </c>
      <c r="I11" s="15" t="s">
        <v>30</v>
      </c>
      <c r="J11" s="70" t="s">
        <v>632</v>
      </c>
      <c r="K11" s="91" t="s">
        <v>639</v>
      </c>
    </row>
    <row r="12" ht="22" customHeight="1">
      <c r="B12" s="96" t="s">
        <v>640</v>
      </c>
      <c r="C12" s="88" t="s">
        <v>321</v>
      </c>
      <c r="D12" s="73" t="s">
        <v>641</v>
      </c>
      <c r="E12" s="99">
        <f>Matriz_Costos!F41</f>
        <v>1</v>
      </c>
      <c r="F12" s="74" t="s">
        <v>642</v>
      </c>
      <c r="G12" s="88" t="s">
        <v>643</v>
      </c>
      <c r="H12" s="88" t="s">
        <v>644</v>
      </c>
      <c r="I12" s="15" t="s">
        <v>30</v>
      </c>
      <c r="J12" s="74" t="s">
        <v>645</v>
      </c>
      <c r="K12" s="90" t="s">
        <v>646</v>
      </c>
    </row>
    <row r="13" ht="22" customHeight="1">
      <c r="B13" s="94" t="s">
        <v>647</v>
      </c>
      <c r="C13" s="87" t="s">
        <v>321</v>
      </c>
      <c r="D13" s="69" t="s">
        <v>648</v>
      </c>
      <c r="E13" s="78">
        <f>Matriz_Costos!F42</f>
        <v>12</v>
      </c>
      <c r="F13" s="70" t="s">
        <v>520</v>
      </c>
      <c r="G13" s="87" t="s">
        <v>649</v>
      </c>
      <c r="H13" s="87" t="s">
        <v>650</v>
      </c>
      <c r="I13" s="15" t="s">
        <v>30</v>
      </c>
      <c r="J13" s="70" t="s">
        <v>651</v>
      </c>
      <c r="K13" s="91" t="s">
        <v>652</v>
      </c>
    </row>
    <row r="14" ht="22" customHeight="1">
      <c r="B14" s="96" t="s">
        <v>653</v>
      </c>
      <c r="C14" s="88" t="s">
        <v>654</v>
      </c>
      <c r="D14" s="73" t="s">
        <v>655</v>
      </c>
      <c r="E14" s="80">
        <f>Matriz_Costos!F43</f>
        <v>12</v>
      </c>
      <c r="F14" s="74" t="s">
        <v>520</v>
      </c>
      <c r="G14" s="88" t="s">
        <v>649</v>
      </c>
      <c r="H14" s="88" t="s">
        <v>656</v>
      </c>
      <c r="I14" s="15" t="s">
        <v>30</v>
      </c>
      <c r="J14" s="74" t="s">
        <v>645</v>
      </c>
      <c r="K14" s="90" t="s">
        <v>657</v>
      </c>
    </row>
    <row r="15" ht="22" customHeight="1">
      <c r="B15" s="94" t="s">
        <v>658</v>
      </c>
      <c r="C15" s="87" t="s">
        <v>659</v>
      </c>
      <c r="D15" s="69" t="s">
        <v>660</v>
      </c>
      <c r="E15" s="98">
        <f>Matriz_Costos!F45</f>
        <v>12</v>
      </c>
      <c r="F15" s="70" t="s">
        <v>636</v>
      </c>
      <c r="G15" s="87" t="s">
        <v>661</v>
      </c>
      <c r="H15" s="87" t="s">
        <v>662</v>
      </c>
      <c r="I15" s="100" t="s">
        <v>57</v>
      </c>
      <c r="J15" s="70" t="s">
        <v>663</v>
      </c>
      <c r="K15" s="91" t="s">
        <v>664</v>
      </c>
    </row>
    <row r="16" ht="22" customHeight="1">
      <c r="B16" s="96" t="s">
        <v>665</v>
      </c>
      <c r="C16" s="88" t="s">
        <v>666</v>
      </c>
      <c r="D16" s="73" t="s">
        <v>667</v>
      </c>
      <c r="E16" s="99">
        <f>Matriz_Costos!F46</f>
        <v>12</v>
      </c>
      <c r="F16" s="74" t="s">
        <v>636</v>
      </c>
      <c r="G16" s="88" t="s">
        <v>668</v>
      </c>
      <c r="H16" s="88" t="s">
        <v>669</v>
      </c>
      <c r="I16" s="101" t="s">
        <v>57</v>
      </c>
      <c r="J16" s="74" t="s">
        <v>632</v>
      </c>
      <c r="K16" s="90" t="s">
        <v>670</v>
      </c>
    </row>
    <row r="17" ht="22" customHeight="1">
      <c r="B17" s="94" t="s">
        <v>671</v>
      </c>
      <c r="C17" s="87" t="s">
        <v>672</v>
      </c>
      <c r="D17" s="69" t="s">
        <v>673</v>
      </c>
      <c r="E17" s="78">
        <f>Matriz_Costos!F47</f>
        <v>12</v>
      </c>
      <c r="F17" s="70" t="s">
        <v>520</v>
      </c>
      <c r="G17" s="87" t="s">
        <v>674</v>
      </c>
      <c r="H17" s="87" t="s">
        <v>675</v>
      </c>
      <c r="I17" s="21" t="s">
        <v>676</v>
      </c>
      <c r="J17" s="70" t="s">
        <v>645</v>
      </c>
      <c r="K17" s="91" t="s">
        <v>677</v>
      </c>
    </row>
    <row r="18" ht="22" customHeight="1">
      <c r="B18" s="96" t="s">
        <v>678</v>
      </c>
      <c r="C18" s="88" t="s">
        <v>679</v>
      </c>
      <c r="D18" s="73" t="s">
        <v>680</v>
      </c>
      <c r="E18" s="80">
        <f>Matriz_Costos!F48</f>
        <v>12</v>
      </c>
      <c r="F18" s="74" t="s">
        <v>520</v>
      </c>
      <c r="G18" s="88" t="s">
        <v>681</v>
      </c>
      <c r="H18" s="88" t="s">
        <v>682</v>
      </c>
      <c r="I18" s="15" t="s">
        <v>30</v>
      </c>
      <c r="J18" s="74" t="s">
        <v>683</v>
      </c>
      <c r="K18" s="90" t="s">
        <v>684</v>
      </c>
    </row>
    <row r="19" ht="22" customHeight="1">
      <c r="B19" s="94" t="s">
        <v>685</v>
      </c>
      <c r="C19" s="87" t="s">
        <v>686</v>
      </c>
      <c r="D19" s="69" t="s">
        <v>687</v>
      </c>
      <c r="E19" s="78">
        <f>Matriz_Costos!I25</f>
        <v>1530000</v>
      </c>
      <c r="F19" s="70" t="s">
        <v>293</v>
      </c>
      <c r="G19" s="87" t="s">
        <v>688</v>
      </c>
      <c r="H19" s="87" t="s">
        <v>689</v>
      </c>
      <c r="I19" s="15" t="s">
        <v>30</v>
      </c>
      <c r="J19" s="70" t="s">
        <v>663</v>
      </c>
      <c r="K19" s="91" t="s">
        <v>690</v>
      </c>
    </row>
    <row r="20" ht="22" customHeight="1">
      <c r="B20" s="96" t="s">
        <v>691</v>
      </c>
      <c r="C20" s="88" t="s">
        <v>692</v>
      </c>
      <c r="D20" s="73" t="s">
        <v>693</v>
      </c>
      <c r="E20" s="80">
        <f>Matriz_Costos!I35</f>
        <v>2155000</v>
      </c>
      <c r="F20" s="74" t="s">
        <v>293</v>
      </c>
      <c r="G20" s="88" t="s">
        <v>694</v>
      </c>
      <c r="H20" s="88" t="s">
        <v>695</v>
      </c>
      <c r="I20" s="15" t="s">
        <v>30</v>
      </c>
      <c r="J20" s="96" t="s">
        <v>613</v>
      </c>
      <c r="K20" s="90" t="s">
        <v>696</v>
      </c>
    </row>
    <row r="21" ht="22" customHeight="1">
      <c r="B21" s="94" t="s">
        <v>697</v>
      </c>
      <c r="C21" s="87" t="s">
        <v>698</v>
      </c>
      <c r="D21" s="69" t="s">
        <v>699</v>
      </c>
      <c r="E21" s="78">
        <f>Matriz_Costos!I52</f>
        <v>2160000</v>
      </c>
      <c r="F21" s="70" t="s">
        <v>160</v>
      </c>
      <c r="G21" s="87" t="s">
        <v>700</v>
      </c>
      <c r="H21" s="87" t="s">
        <v>701</v>
      </c>
      <c r="I21" s="100" t="s">
        <v>57</v>
      </c>
      <c r="J21" s="70" t="s">
        <v>663</v>
      </c>
      <c r="K21" s="91" t="s">
        <v>702</v>
      </c>
    </row>
    <row r="22" ht="22" customHeight="1">
      <c r="B22" s="96" t="s">
        <v>703</v>
      </c>
      <c r="C22" s="88" t="s">
        <v>704</v>
      </c>
      <c r="D22" s="73" t="s">
        <v>705</v>
      </c>
      <c r="E22" s="97">
        <f>Resumen_Ejecutivo!$E$33</f>
        <v>40</v>
      </c>
      <c r="F22" s="74" t="s">
        <v>76</v>
      </c>
      <c r="G22" s="88" t="s">
        <v>706</v>
      </c>
      <c r="H22" s="88" t="s">
        <v>707</v>
      </c>
      <c r="I22" s="15" t="s">
        <v>30</v>
      </c>
      <c r="J22" s="96" t="s">
        <v>613</v>
      </c>
      <c r="K22" s="90" t="s">
        <v>708</v>
      </c>
    </row>
    <row r="23" ht="22" customHeight="1">
      <c r="B23" s="94" t="s">
        <v>709</v>
      </c>
      <c r="C23" s="87" t="s">
        <v>704</v>
      </c>
      <c r="D23" s="69" t="s">
        <v>710</v>
      </c>
      <c r="E23" s="95">
        <f>Resumen_Ejecutivo!$E$35</f>
        <v>180000</v>
      </c>
      <c r="F23" s="70" t="s">
        <v>82</v>
      </c>
      <c r="G23" s="87" t="s">
        <v>711</v>
      </c>
      <c r="H23" s="87" t="s">
        <v>707</v>
      </c>
      <c r="I23" s="15" t="s">
        <v>30</v>
      </c>
      <c r="J23" s="94" t="s">
        <v>613</v>
      </c>
      <c r="K23" s="91" t="s">
        <v>712</v>
      </c>
    </row>
    <row r="24" ht="22" customHeight="1">
      <c r="B24" s="96" t="s">
        <v>713</v>
      </c>
      <c r="C24" s="88" t="s">
        <v>704</v>
      </c>
      <c r="D24" s="73" t="s">
        <v>714</v>
      </c>
      <c r="E24" s="95">
        <f>Resumen_Ejecutivo!$E$34</f>
        <v>32400</v>
      </c>
      <c r="F24" s="74" t="s">
        <v>79</v>
      </c>
      <c r="G24" s="88" t="s">
        <v>715</v>
      </c>
      <c r="H24" s="88" t="s">
        <v>716</v>
      </c>
      <c r="I24" s="15" t="s">
        <v>30</v>
      </c>
      <c r="J24" s="96" t="s">
        <v>613</v>
      </c>
      <c r="K24" s="90" t="s">
        <v>717</v>
      </c>
    </row>
    <row r="26" ht="24" customHeight="1">
      <c r="B26" s="59" t="s">
        <v>718</v>
      </c>
    </row>
    <row r="27" ht="26" customHeight="1">
      <c r="B27" s="68" t="s">
        <v>605</v>
      </c>
      <c r="C27" s="68" t="s">
        <v>719</v>
      </c>
      <c r="D27" s="68" t="s">
        <v>720</v>
      </c>
      <c r="E27" s="68" t="s">
        <v>89</v>
      </c>
      <c r="F27" s="68" t="s">
        <v>721</v>
      </c>
      <c r="G27" s="68" t="s">
        <v>722</v>
      </c>
    </row>
    <row r="28" ht="22" customHeight="1">
      <c r="B28" s="73" t="s">
        <v>723</v>
      </c>
      <c r="C28" s="88" t="s">
        <v>724</v>
      </c>
      <c r="D28" s="75">
        <f>COUNTIF(I7:I24,"Confirmado")</f>
        <v>14</v>
      </c>
      <c r="E28" s="102">
        <f t="shared" ref="E28:E31" si="25">D28/$D$32</f>
        <v>0.736842105263158</v>
      </c>
      <c r="F28" s="79">
        <f>Matriz_Costos!I36+Matriz_Costos!I44+Matriz_Costos!I48-Matriz_Costos!I55</f>
        <v>21452300</v>
      </c>
      <c r="G28" s="90" t="s">
        <v>725</v>
      </c>
      <c r="H28" s="7"/>
      <c r="I28" s="7"/>
      <c r="J28" s="7"/>
      <c r="K28" s="7"/>
    </row>
    <row r="29" ht="22" customHeight="1">
      <c r="B29" s="69" t="s">
        <v>726</v>
      </c>
      <c r="C29" s="87" t="s">
        <v>727</v>
      </c>
      <c r="D29" s="71">
        <f>COUNTIF(I7:I24,"Estimado")</f>
        <v>3</v>
      </c>
      <c r="E29" s="82">
        <f t="shared" si="25"/>
        <v>0.157894736842105</v>
      </c>
      <c r="F29" s="77">
        <f>Matriz_Costos!I45+Matriz_Costos!I46+Matriz_Costos!I52</f>
        <v>2558400</v>
      </c>
      <c r="G29" s="91" t="s">
        <v>728</v>
      </c>
      <c r="H29" s="7"/>
      <c r="I29" s="7"/>
      <c r="J29" s="7"/>
      <c r="K29" s="7"/>
    </row>
    <row r="30" ht="22" customHeight="1">
      <c r="B30" s="73" t="s">
        <v>729</v>
      </c>
      <c r="C30" s="88" t="s">
        <v>730</v>
      </c>
      <c r="D30" s="75">
        <f>COUNTIF(I7:I24,"Pendiente")</f>
        <v>1</v>
      </c>
      <c r="E30" s="102">
        <f t="shared" si="25"/>
        <v>0.0526315789473684</v>
      </c>
      <c r="F30" s="79">
        <f>Matriz_Costos!I47</f>
        <v>264000</v>
      </c>
      <c r="G30" s="90" t="s">
        <v>731</v>
      </c>
      <c r="H30" s="7"/>
      <c r="I30" s="7"/>
      <c r="J30" s="7"/>
      <c r="K30" s="7"/>
    </row>
    <row r="31" ht="22" customHeight="1">
      <c r="B31" s="69" t="s">
        <v>115</v>
      </c>
      <c r="C31" s="87" t="s">
        <v>732</v>
      </c>
      <c r="D31" s="71">
        <v>1</v>
      </c>
      <c r="E31" s="82">
        <f t="shared" si="25"/>
        <v>0.0526315789473684</v>
      </c>
      <c r="F31" s="77">
        <f>Matriz_Costos!I35</f>
        <v>2155000</v>
      </c>
      <c r="G31" s="91" t="s">
        <v>733</v>
      </c>
      <c r="H31" s="7"/>
      <c r="I31" s="7"/>
      <c r="J31" s="7"/>
      <c r="K31" s="7"/>
    </row>
    <row r="32" ht="22" customHeight="1">
      <c r="B32" s="27" t="s">
        <v>734</v>
      </c>
      <c r="C32" s="89" t="s">
        <v>735</v>
      </c>
      <c r="D32" s="43">
        <f>SUM(D28:D31)</f>
        <v>19</v>
      </c>
      <c r="E32" s="103">
        <f>SUM(E28:E31)</f>
        <v>1</v>
      </c>
      <c r="F32" s="30">
        <f>SUM(F28:F31)</f>
        <v>26429700</v>
      </c>
      <c r="G32" s="104" t="s">
        <v>736</v>
      </c>
      <c r="H32" s="105"/>
      <c r="I32" s="105"/>
      <c r="J32" s="105"/>
      <c r="K32" s="105"/>
    </row>
    <row r="34" ht="24" customHeight="1">
      <c r="B34" s="59" t="s">
        <v>737</v>
      </c>
    </row>
    <row r="35" ht="32" customHeight="1">
      <c r="B35" s="92" t="s">
        <v>738</v>
      </c>
      <c r="C35" s="93" t="s">
        <v>739</v>
      </c>
      <c r="D35" s="7"/>
      <c r="E35" s="7"/>
      <c r="F35" s="7"/>
      <c r="G35" s="7"/>
      <c r="H35" s="7"/>
      <c r="I35" s="7"/>
      <c r="J35" s="7"/>
      <c r="K35" s="7"/>
    </row>
    <row r="36" ht="32" customHeight="1">
      <c r="B36" s="92" t="s">
        <v>740</v>
      </c>
      <c r="C36" s="93" t="s">
        <v>741</v>
      </c>
      <c r="D36" s="7"/>
      <c r="E36" s="7"/>
      <c r="F36" s="7"/>
      <c r="G36" s="7"/>
      <c r="H36" s="7"/>
      <c r="I36" s="7"/>
      <c r="J36" s="7"/>
      <c r="K36" s="7"/>
    </row>
    <row r="37" ht="32" customHeight="1">
      <c r="B37" s="92" t="s">
        <v>742</v>
      </c>
      <c r="C37" s="93" t="s">
        <v>743</v>
      </c>
      <c r="D37" s="7"/>
      <c r="E37" s="7"/>
      <c r="F37" s="7"/>
      <c r="G37" s="7"/>
      <c r="H37" s="7"/>
      <c r="I37" s="7"/>
      <c r="J37" s="7"/>
      <c r="K37" s="7"/>
    </row>
    <row r="38" ht="32" customHeight="1">
      <c r="B38" s="92" t="s">
        <v>744</v>
      </c>
      <c r="C38" s="93" t="s">
        <v>745</v>
      </c>
      <c r="D38" s="7"/>
      <c r="E38" s="7"/>
      <c r="F38" s="7"/>
      <c r="G38" s="7"/>
      <c r="H38" s="7"/>
      <c r="I38" s="7"/>
      <c r="J38" s="7"/>
      <c r="K38" s="7"/>
    </row>
  </sheetData>
  <mergeCells count="14">
    <mergeCell ref="B2:K2"/>
    <mergeCell ref="B3:K3"/>
    <mergeCell ref="B5:K5"/>
    <mergeCell ref="B26:K26"/>
    <mergeCell ref="G28:K28"/>
    <mergeCell ref="G29:K29"/>
    <mergeCell ref="G30:K30"/>
    <mergeCell ref="G31:K31"/>
    <mergeCell ref="G32:K32"/>
    <mergeCell ref="B34:K34"/>
    <mergeCell ref="C35:K35"/>
    <mergeCell ref="C36:K36"/>
    <mergeCell ref="C37:K37"/>
    <mergeCell ref="C38:K38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2026-10-22T13:33:59Z</dcterms:created>
  <dcterms:modified xsi:type="dcterms:W3CDTF">2026-10-22T14:21:03Z</dcterms:modified>
</cp:coreProperties>
</file>